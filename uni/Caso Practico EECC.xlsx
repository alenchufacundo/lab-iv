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va\OneDrive\Documentos\UTN\TUP 2024\UNIDAD 4 EECC\"/>
    </mc:Choice>
  </mc:AlternateContent>
  <xr:revisionPtr revIDLastSave="0" documentId="13_ncr:1_{781CCFE2-E3C5-4E91-919F-4355F44F82F2}" xr6:coauthVersionLast="46" xr6:coauthVersionMax="46" xr10:uidLastSave="{00000000-0000-0000-0000-000000000000}"/>
  <bookViews>
    <workbookView xWindow="-98" yWindow="-98" windowWidth="22695" windowHeight="14595" xr2:uid="{3711EBBE-62E5-478A-BBF8-BD97D0A8CF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2" i="1" l="1"/>
  <c r="P112" i="1" l="1"/>
  <c r="P110" i="1"/>
  <c r="P108" i="1"/>
  <c r="P107" i="1"/>
  <c r="P106" i="1"/>
  <c r="P95" i="1"/>
  <c r="P94" i="1"/>
  <c r="P93" i="1"/>
  <c r="P86" i="1"/>
  <c r="P83" i="1"/>
  <c r="P81" i="1"/>
  <c r="P80" i="1"/>
  <c r="P76" i="1"/>
  <c r="P75" i="1"/>
  <c r="P70" i="1"/>
  <c r="P66" i="1"/>
  <c r="O54" i="1"/>
  <c r="O30" i="1"/>
  <c r="O52" i="1" s="1"/>
  <c r="O26" i="1"/>
  <c r="O28" i="1" s="1"/>
  <c r="O21" i="1"/>
  <c r="O23" i="1" s="1"/>
  <c r="O18" i="1"/>
  <c r="O17" i="1"/>
  <c r="O14" i="1"/>
  <c r="O12" i="1"/>
  <c r="O10" i="1"/>
  <c r="O8" i="1"/>
  <c r="O6" i="1"/>
  <c r="O4" i="1"/>
  <c r="L7" i="1"/>
  <c r="L6" i="1"/>
  <c r="L5" i="1"/>
  <c r="K62" i="1"/>
  <c r="K61" i="1"/>
  <c r="K60" i="1"/>
  <c r="K59" i="1"/>
  <c r="K7" i="1"/>
  <c r="K6" i="1"/>
  <c r="K5" i="1"/>
  <c r="K14" i="1"/>
  <c r="K15" i="1"/>
  <c r="K16" i="1"/>
  <c r="K17" i="1"/>
  <c r="K19" i="1"/>
  <c r="K20" i="1"/>
  <c r="K21" i="1"/>
  <c r="K22" i="1"/>
  <c r="K23" i="1"/>
  <c r="K25" i="1"/>
  <c r="K26" i="1"/>
  <c r="K27" i="1"/>
  <c r="K29" i="1"/>
  <c r="K33" i="1"/>
  <c r="K37" i="1"/>
  <c r="K38" i="1"/>
  <c r="K39" i="1"/>
  <c r="K41" i="1"/>
  <c r="K44" i="1"/>
  <c r="K45" i="1"/>
  <c r="K46" i="1"/>
  <c r="K47" i="1"/>
  <c r="K48" i="1"/>
  <c r="K49" i="1"/>
  <c r="K50" i="1"/>
  <c r="K51" i="1"/>
  <c r="K52" i="1"/>
  <c r="K54" i="1"/>
  <c r="K67" i="1"/>
  <c r="K68" i="1"/>
  <c r="K69" i="1"/>
  <c r="K70" i="1"/>
  <c r="K73" i="1"/>
  <c r="K75" i="1"/>
  <c r="K76" i="1"/>
  <c r="K78" i="1"/>
  <c r="K79" i="1"/>
  <c r="K80" i="1"/>
  <c r="K81" i="1"/>
  <c r="K84" i="1"/>
  <c r="K87" i="1"/>
  <c r="K88" i="1"/>
  <c r="K89" i="1"/>
  <c r="K90" i="1"/>
  <c r="K91" i="1"/>
  <c r="K93" i="1"/>
  <c r="K96" i="1"/>
  <c r="K97" i="1"/>
  <c r="K98" i="1"/>
  <c r="K100" i="1"/>
  <c r="K102" i="1"/>
  <c r="K105" i="1"/>
  <c r="K106" i="1"/>
  <c r="K107" i="1"/>
  <c r="K108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L126" i="1"/>
  <c r="L125" i="1"/>
  <c r="L124" i="1"/>
  <c r="L123" i="1"/>
  <c r="L122" i="1"/>
  <c r="L121" i="1"/>
  <c r="L120" i="1"/>
  <c r="L119" i="1"/>
  <c r="L118" i="1"/>
  <c r="L117" i="1"/>
  <c r="M116" i="1"/>
  <c r="L116" i="1"/>
  <c r="M115" i="1"/>
  <c r="L115" i="1"/>
  <c r="M114" i="1"/>
  <c r="L114" i="1"/>
  <c r="J108" i="1"/>
  <c r="I108" i="1"/>
  <c r="P103" i="1"/>
  <c r="J98" i="1"/>
  <c r="O37" i="1" s="1"/>
  <c r="I98" i="1"/>
  <c r="J91" i="1"/>
  <c r="I91" i="1"/>
  <c r="I100" i="1" s="1"/>
  <c r="J81" i="1"/>
  <c r="I81" i="1"/>
  <c r="P79" i="1"/>
  <c r="P77" i="1"/>
  <c r="J76" i="1"/>
  <c r="I76" i="1"/>
  <c r="J70" i="1"/>
  <c r="I70" i="1"/>
  <c r="P68" i="1"/>
  <c r="P102" i="1" s="1"/>
  <c r="P65" i="1"/>
  <c r="P104" i="1" s="1"/>
  <c r="P64" i="1"/>
  <c r="J64" i="1"/>
  <c r="J84" i="1" s="1"/>
  <c r="I64" i="1"/>
  <c r="N53" i="1"/>
  <c r="N52" i="1"/>
  <c r="J51" i="1"/>
  <c r="J52" i="1" s="1"/>
  <c r="J54" i="1" s="1"/>
  <c r="I51" i="1"/>
  <c r="O43" i="1"/>
  <c r="N41" i="1"/>
  <c r="J39" i="1"/>
  <c r="I39" i="1"/>
  <c r="O38" i="1"/>
  <c r="O39" i="1" s="1"/>
  <c r="N35" i="1"/>
  <c r="O31" i="1"/>
  <c r="O53" i="1" s="1"/>
  <c r="O27" i="1"/>
  <c r="J27" i="1"/>
  <c r="I27" i="1"/>
  <c r="J23" i="1"/>
  <c r="I23" i="1"/>
  <c r="O22" i="1"/>
  <c r="J17" i="1"/>
  <c r="I17" i="1"/>
  <c r="J12" i="1"/>
  <c r="I12" i="1"/>
  <c r="J7" i="1"/>
  <c r="J29" i="1" s="1"/>
  <c r="I7" i="1"/>
  <c r="O55" i="1" l="1"/>
  <c r="J102" i="1"/>
  <c r="I52" i="1"/>
  <c r="I84" i="1"/>
  <c r="J100" i="1"/>
  <c r="I29" i="1"/>
  <c r="O32" i="1"/>
  <c r="L29" i="1" l="1"/>
  <c r="I54" i="1"/>
  <c r="J110" i="1"/>
  <c r="J112" i="1" s="1"/>
  <c r="L54" i="1" l="1"/>
  <c r="L50" i="1"/>
  <c r="L47" i="1"/>
  <c r="L45" i="1"/>
  <c r="L25" i="1"/>
  <c r="L22" i="1"/>
  <c r="L48" i="1"/>
  <c r="L27" i="1"/>
  <c r="L20" i="1"/>
  <c r="L17" i="1"/>
  <c r="L16" i="1"/>
  <c r="L10" i="1"/>
  <c r="L12" i="1"/>
  <c r="L49" i="1"/>
  <c r="L46" i="1"/>
  <c r="L44" i="1"/>
  <c r="L39" i="1"/>
  <c r="L37" i="1"/>
  <c r="L33" i="1"/>
  <c r="L26" i="1"/>
  <c r="O35" i="1"/>
  <c r="L11" i="1"/>
  <c r="L41" i="1"/>
  <c r="L38" i="1"/>
  <c r="L23" i="1"/>
  <c r="L21" i="1"/>
  <c r="L19" i="1"/>
  <c r="L15" i="1"/>
  <c r="L14" i="1"/>
  <c r="L51" i="1"/>
  <c r="L52" i="1"/>
  <c r="O41" i="1"/>
  <c r="I110" i="1"/>
  <c r="L60" i="1" l="1"/>
  <c r="L64" i="1"/>
  <c r="L59" i="1"/>
  <c r="L63" i="1"/>
  <c r="L61" i="1"/>
  <c r="L62" i="1"/>
  <c r="K110" i="1"/>
  <c r="L102" i="1"/>
  <c r="O47" i="1"/>
  <c r="O48" i="1" s="1"/>
  <c r="L110" i="1"/>
  <c r="L109" i="1"/>
  <c r="L105" i="1"/>
  <c r="L93" i="1"/>
  <c r="L78" i="1"/>
  <c r="L73" i="1"/>
  <c r="L67" i="1"/>
  <c r="L98" i="1"/>
  <c r="L97" i="1"/>
  <c r="L89" i="1"/>
  <c r="L87" i="1"/>
  <c r="L75" i="1"/>
  <c r="L108" i="1"/>
  <c r="L106" i="1"/>
  <c r="L92" i="1"/>
  <c r="L81" i="1"/>
  <c r="L79" i="1"/>
  <c r="L68" i="1"/>
  <c r="L107" i="1"/>
  <c r="L96" i="1"/>
  <c r="L91" i="1"/>
  <c r="L90" i="1"/>
  <c r="L88" i="1"/>
  <c r="L80" i="1"/>
  <c r="L74" i="1"/>
  <c r="L70" i="1"/>
  <c r="L69" i="1"/>
  <c r="L100" i="1"/>
  <c r="L76" i="1"/>
  <c r="L84" i="1"/>
</calcChain>
</file>

<file path=xl/sharedStrings.xml><?xml version="1.0" encoding="utf-8"?>
<sst xmlns="http://schemas.openxmlformats.org/spreadsheetml/2006/main" count="179" uniqueCount="145">
  <si>
    <t>Año 2015</t>
  </si>
  <si>
    <t>Año 2014</t>
  </si>
  <si>
    <t>Activo</t>
  </si>
  <si>
    <t>Activo corriente</t>
  </si>
  <si>
    <t>Horizontal</t>
  </si>
  <si>
    <t>Vertical</t>
  </si>
  <si>
    <t>Caja y bancos</t>
  </si>
  <si>
    <t>Liquidez</t>
  </si>
  <si>
    <t>Caja</t>
  </si>
  <si>
    <t>Banco Nación Cta Cte</t>
  </si>
  <si>
    <t>Liquidez ácida</t>
  </si>
  <si>
    <t>Liquidez mayor</t>
  </si>
  <si>
    <t>Inversiones</t>
  </si>
  <si>
    <t>Monena extranjera</t>
  </si>
  <si>
    <t>Solvencia</t>
  </si>
  <si>
    <t>Banco Río Plazo Fijo</t>
  </si>
  <si>
    <t>Endeudamiento Total</t>
  </si>
  <si>
    <t>Creditos</t>
  </si>
  <si>
    <t>Deudores por ventas</t>
  </si>
  <si>
    <t>Deudores Morosos</t>
  </si>
  <si>
    <t>PCI</t>
  </si>
  <si>
    <t>Rentabilidad s/ ventas</t>
  </si>
  <si>
    <t>Rent Bruta s/ vtas</t>
  </si>
  <si>
    <t>Otros Creditos</t>
  </si>
  <si>
    <t>Rent neta s/ ventas</t>
  </si>
  <si>
    <t>Percepciones IIBB</t>
  </si>
  <si>
    <t>IVA saldo a favor</t>
  </si>
  <si>
    <t>Rent Op</t>
  </si>
  <si>
    <t>Anticipo imp. A las ganancias</t>
  </si>
  <si>
    <t>Activo Total Prom</t>
  </si>
  <si>
    <t>Adelanto de sueldos</t>
  </si>
  <si>
    <t>Resultado op</t>
  </si>
  <si>
    <t>Bienes de cambio</t>
  </si>
  <si>
    <t>Mercaderías</t>
  </si>
  <si>
    <t>Rentabilidad PN</t>
  </si>
  <si>
    <t>Anticipo a proveedores</t>
  </si>
  <si>
    <t>PN</t>
  </si>
  <si>
    <t>Resultado del ejercicio</t>
  </si>
  <si>
    <t>Total activo corriente</t>
  </si>
  <si>
    <t>Activo No Corriente</t>
  </si>
  <si>
    <t>Acciones</t>
  </si>
  <si>
    <t>Rentabilidad neta desagregada</t>
  </si>
  <si>
    <t>i (costo pasivo)</t>
  </si>
  <si>
    <t>Pasivo promedio</t>
  </si>
  <si>
    <t>Documentos a cobrar</t>
  </si>
  <si>
    <t>Intereses</t>
  </si>
  <si>
    <t>Bienes de uso</t>
  </si>
  <si>
    <t xml:space="preserve">tasa impuesto (t) </t>
  </si>
  <si>
    <t>Inmuebles</t>
  </si>
  <si>
    <t>Amortización Acum. Inmuebles</t>
  </si>
  <si>
    <t>PC y equipos</t>
  </si>
  <si>
    <t>Amortización Acum. PC y equipos</t>
  </si>
  <si>
    <t>sin impuesto</t>
  </si>
  <si>
    <t>Terrenos</t>
  </si>
  <si>
    <t>con impuestos</t>
  </si>
  <si>
    <t>Rodados</t>
  </si>
  <si>
    <t>Amortización Acum. Rodados</t>
  </si>
  <si>
    <t>Rentabilidad neta ajustada</t>
  </si>
  <si>
    <t>Total Activo No Corriente</t>
  </si>
  <si>
    <t>Total Activo</t>
  </si>
  <si>
    <t>Res extraor</t>
  </si>
  <si>
    <t>Pasivo</t>
  </si>
  <si>
    <t>Pasivo Corriente</t>
  </si>
  <si>
    <t>Deudas Comerciales</t>
  </si>
  <si>
    <t>Proveedores</t>
  </si>
  <si>
    <t>Ciclo operativo</t>
  </si>
  <si>
    <t>Plazo Pro Bs en exis + Plazo promedio cob</t>
  </si>
  <si>
    <t>Documentos a Pagar</t>
  </si>
  <si>
    <t>Honorarios a pagar</t>
  </si>
  <si>
    <t>Plazo promedio Bs en exis</t>
  </si>
  <si>
    <t>365 * (Einicial Bs de cambio + EF Bs de cambio )/2</t>
  </si>
  <si>
    <t>Seguros a Pagar</t>
  </si>
  <si>
    <t>CMV</t>
  </si>
  <si>
    <t>Intereses cedidos a devengar</t>
  </si>
  <si>
    <t>Existencia Inicial Bs de cambio</t>
  </si>
  <si>
    <t>Existencia Final Bs de cambio</t>
  </si>
  <si>
    <t>Deudas bancarias</t>
  </si>
  <si>
    <t>Promedio</t>
  </si>
  <si>
    <t>Acreedores Hipotecarios</t>
  </si>
  <si>
    <t>Acreedores Prendarios</t>
  </si>
  <si>
    <t>Plazo Prom Bs existencia</t>
  </si>
  <si>
    <t>días</t>
  </si>
  <si>
    <t>Deudas Fiscales</t>
  </si>
  <si>
    <t>Impuesto Ingresos brutos a pagar</t>
  </si>
  <si>
    <t>Plazo Prom de Cob = 365 * Cta por cobrar promedio / Ventas financiadas ajustadas</t>
  </si>
  <si>
    <t>IVA a pagar</t>
  </si>
  <si>
    <t>Plan de pago n° 1007/890 ARBA</t>
  </si>
  <si>
    <t>Existencia inicial Cta por cobrar</t>
  </si>
  <si>
    <t>Existencia final Ctas por cobrar</t>
  </si>
  <si>
    <t>Deudas Laborales</t>
  </si>
  <si>
    <t>Sueldos a pagar</t>
  </si>
  <si>
    <t>Cargas sociales a depositar</t>
  </si>
  <si>
    <t>Ventas</t>
  </si>
  <si>
    <t>ventas financiadas</t>
  </si>
  <si>
    <t>Ventas financiadas ajustadas</t>
  </si>
  <si>
    <t>Plazo promedio cobranza</t>
  </si>
  <si>
    <t>Total Pasivo Corriente</t>
  </si>
  <si>
    <t>Pasivo No corriente</t>
  </si>
  <si>
    <t xml:space="preserve">Ciclo operativo: 86 + 18 </t>
  </si>
  <si>
    <t>Ciclo Financiero</t>
  </si>
  <si>
    <t>Ciclo operativo - Plazo promedio de pagos</t>
  </si>
  <si>
    <t>Plazo promedio de pago: 365 * Ctas por pagar promedio / Compras Financiadas ajustadas</t>
  </si>
  <si>
    <t>Existencia inicial Cta por pagar</t>
  </si>
  <si>
    <t>Existencia final Ctas por pagar</t>
  </si>
  <si>
    <t xml:space="preserve">Compras: </t>
  </si>
  <si>
    <t>CMV = Existencia Inicial Merac+ compras - Existe Final Mercad</t>
  </si>
  <si>
    <t>Total Pasivo No Corriente</t>
  </si>
  <si>
    <t>Compras = CMV + Existencia Final - Existencia Inicial</t>
  </si>
  <si>
    <t>Total Pasivo</t>
  </si>
  <si>
    <t>Patrimonio Neto</t>
  </si>
  <si>
    <t>Capital</t>
  </si>
  <si>
    <t>Resultados Acumulados</t>
  </si>
  <si>
    <t>Compras</t>
  </si>
  <si>
    <t>Compras financiadas</t>
  </si>
  <si>
    <t>Total Patrimonio Neto</t>
  </si>
  <si>
    <t>Compras financiadas ajustadas</t>
  </si>
  <si>
    <t>Pasivo + PN</t>
  </si>
  <si>
    <t>Plazo promedio pago</t>
  </si>
  <si>
    <t>Estado de Resultados</t>
  </si>
  <si>
    <t>Costo de mercaderias vendidas</t>
  </si>
  <si>
    <t>Resultado Bruto</t>
  </si>
  <si>
    <t>Comercailaización</t>
  </si>
  <si>
    <t>Administración</t>
  </si>
  <si>
    <t>Otros Ingresos</t>
  </si>
  <si>
    <t>Resultado Operativo</t>
  </si>
  <si>
    <t>Intereses por financiación</t>
  </si>
  <si>
    <t>Resultado Ordinario</t>
  </si>
  <si>
    <t>Resultados Extraordinarios</t>
  </si>
  <si>
    <t>Resultado antes de Impuestos</t>
  </si>
  <si>
    <t>Impuesto a las Ganancias</t>
  </si>
  <si>
    <t>Resultado del Ejercicio (Utilidad Neta)</t>
  </si>
  <si>
    <t>Realizar:</t>
  </si>
  <si>
    <t>a) Análisis horizontal y vertical</t>
  </si>
  <si>
    <t>b) Calcular liquidez, solvencia, endeudamiento</t>
  </si>
  <si>
    <t>c) Rentabilidad sobre ventas, operativa, del patrimonio neto bajo todas sus alternativas</t>
  </si>
  <si>
    <t>d) Definir el ciclo operativo y financiero sabiendo que las ventas financiadas son el 75%, y las compras de contado el 44%</t>
  </si>
  <si>
    <t>Endeudamiento c/ fondos propios</t>
  </si>
  <si>
    <t>A= P+PN</t>
  </si>
  <si>
    <t>(Total Act cte/Total pasivo cte)</t>
  </si>
  <si>
    <t>(total Pasivo Cte/Total Activo)</t>
  </si>
  <si>
    <t>(total PN/Total Pasivo)</t>
  </si>
  <si>
    <t>(Total Pasivo/Total PN)</t>
  </si>
  <si>
    <t xml:space="preserve"> rent Opérativa + (Rent Oper - Rent Desagregada)*Endeudamiento c/fondos propios</t>
  </si>
  <si>
    <t>Rent Neta desag sin impuesto *(1-0,35)</t>
  </si>
  <si>
    <t>( Resul Ej -Result Extraor)/PN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</si>
</sst>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_ ;\-#,##0.00\ "/>
    <numFmt numFmtId="166" formatCode="#,##0.0000_ ;\-#,##0.0000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4" fontId="1" fillId="0" borderId="0" xfId="0" applyNumberFormat="1" applyFont="1"/>
    <xf numFmtId="4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44" fontId="1" fillId="2" borderId="0" xfId="0" applyNumberFormat="1" applyFont="1" applyFill="1"/>
    <xf numFmtId="0" fontId="1" fillId="4" borderId="0" xfId="0" applyFont="1" applyFill="1"/>
    <xf numFmtId="0" fontId="0" fillId="4" borderId="0" xfId="0" applyFill="1"/>
    <xf numFmtId="164" fontId="0" fillId="4" borderId="0" xfId="0" applyNumberFormat="1" applyFill="1"/>
    <xf numFmtId="0" fontId="3" fillId="0" borderId="0" xfId="0" applyFont="1"/>
    <xf numFmtId="0" fontId="4" fillId="0" borderId="0" xfId="0" applyFont="1"/>
    <xf numFmtId="165" fontId="5" fillId="0" borderId="0" xfId="0" applyNumberFormat="1" applyFont="1"/>
    <xf numFmtId="0" fontId="5" fillId="0" borderId="0" xfId="0" applyFont="1"/>
    <xf numFmtId="164" fontId="5" fillId="0" borderId="0" xfId="0" applyNumberFormat="1" applyFont="1"/>
    <xf numFmtId="166" fontId="5" fillId="0" borderId="0" xfId="0" applyNumberFormat="1" applyFont="1"/>
    <xf numFmtId="44" fontId="5" fillId="0" borderId="0" xfId="0" applyNumberFormat="1" applyFont="1"/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7" fillId="4" borderId="0" xfId="0" applyFont="1" applyFill="1"/>
    <xf numFmtId="0" fontId="6" fillId="4" borderId="0" xfId="0" applyFont="1" applyFill="1"/>
    <xf numFmtId="0" fontId="5" fillId="5" borderId="0" xfId="0" applyFont="1" applyFill="1"/>
    <xf numFmtId="0" fontId="4" fillId="5" borderId="0" xfId="0" applyFont="1" applyFill="1"/>
    <xf numFmtId="1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4E02-5833-483E-B8CD-8F80A3ABB0B7}">
  <dimension ref="A1:R132"/>
  <sheetViews>
    <sheetView tabSelected="1" workbookViewId="0">
      <selection activeCell="B19" sqref="B18:B19"/>
    </sheetView>
  </sheetViews>
  <sheetFormatPr baseColWidth="10" defaultRowHeight="14.25" x14ac:dyDescent="0.45"/>
  <cols>
    <col min="4" max="4" width="32.86328125" bestFit="1" customWidth="1"/>
    <col min="5" max="7" width="0" hidden="1" customWidth="1"/>
    <col min="9" max="9" width="14.53125" bestFit="1" customWidth="1"/>
    <col min="10" max="10" width="14.33203125" bestFit="1" customWidth="1"/>
    <col min="11" max="11" width="15" bestFit="1" customWidth="1"/>
    <col min="12" max="12" width="13.46484375" bestFit="1" customWidth="1"/>
    <col min="13" max="13" width="13" bestFit="1" customWidth="1"/>
    <col min="14" max="14" width="32.46484375" customWidth="1"/>
    <col min="15" max="15" width="14.3984375" bestFit="1" customWidth="1"/>
    <col min="16" max="16" width="14.796875" bestFit="1" customWidth="1"/>
    <col min="17" max="17" width="10.73046875" bestFit="1" customWidth="1"/>
    <col min="260" max="260" width="32.86328125" bestFit="1" customWidth="1"/>
    <col min="261" max="263" width="0" hidden="1" customWidth="1"/>
    <col min="265" max="265" width="14.53125" bestFit="1" customWidth="1"/>
    <col min="266" max="266" width="14.33203125" bestFit="1" customWidth="1"/>
    <col min="267" max="267" width="15" bestFit="1" customWidth="1"/>
    <col min="268" max="268" width="13.46484375" bestFit="1" customWidth="1"/>
    <col min="269" max="269" width="13" bestFit="1" customWidth="1"/>
    <col min="270" max="270" width="20.46484375" customWidth="1"/>
    <col min="271" max="271" width="14.33203125" bestFit="1" customWidth="1"/>
    <col min="272" max="272" width="14.53125" bestFit="1" customWidth="1"/>
    <col min="516" max="516" width="32.86328125" bestFit="1" customWidth="1"/>
    <col min="517" max="519" width="0" hidden="1" customWidth="1"/>
    <col min="521" max="521" width="14.53125" bestFit="1" customWidth="1"/>
    <col min="522" max="522" width="14.33203125" bestFit="1" customWidth="1"/>
    <col min="523" max="523" width="15" bestFit="1" customWidth="1"/>
    <col min="524" max="524" width="13.46484375" bestFit="1" customWidth="1"/>
    <col min="525" max="525" width="13" bestFit="1" customWidth="1"/>
    <col min="526" max="526" width="20.46484375" customWidth="1"/>
    <col min="527" max="527" width="14.33203125" bestFit="1" customWidth="1"/>
    <col min="528" max="528" width="14.53125" bestFit="1" customWidth="1"/>
    <col min="772" max="772" width="32.86328125" bestFit="1" customWidth="1"/>
    <col min="773" max="775" width="0" hidden="1" customWidth="1"/>
    <col min="777" max="777" width="14.53125" bestFit="1" customWidth="1"/>
    <col min="778" max="778" width="14.33203125" bestFit="1" customWidth="1"/>
    <col min="779" max="779" width="15" bestFit="1" customWidth="1"/>
    <col min="780" max="780" width="13.46484375" bestFit="1" customWidth="1"/>
    <col min="781" max="781" width="13" bestFit="1" customWidth="1"/>
    <col min="782" max="782" width="20.46484375" customWidth="1"/>
    <col min="783" max="783" width="14.33203125" bestFit="1" customWidth="1"/>
    <col min="784" max="784" width="14.53125" bestFit="1" customWidth="1"/>
    <col min="1028" max="1028" width="32.86328125" bestFit="1" customWidth="1"/>
    <col min="1029" max="1031" width="0" hidden="1" customWidth="1"/>
    <col min="1033" max="1033" width="14.53125" bestFit="1" customWidth="1"/>
    <col min="1034" max="1034" width="14.33203125" bestFit="1" customWidth="1"/>
    <col min="1035" max="1035" width="15" bestFit="1" customWidth="1"/>
    <col min="1036" max="1036" width="13.46484375" bestFit="1" customWidth="1"/>
    <col min="1037" max="1037" width="13" bestFit="1" customWidth="1"/>
    <col min="1038" max="1038" width="20.46484375" customWidth="1"/>
    <col min="1039" max="1039" width="14.33203125" bestFit="1" customWidth="1"/>
    <col min="1040" max="1040" width="14.53125" bestFit="1" customWidth="1"/>
    <col min="1284" max="1284" width="32.86328125" bestFit="1" customWidth="1"/>
    <col min="1285" max="1287" width="0" hidden="1" customWidth="1"/>
    <col min="1289" max="1289" width="14.53125" bestFit="1" customWidth="1"/>
    <col min="1290" max="1290" width="14.33203125" bestFit="1" customWidth="1"/>
    <col min="1291" max="1291" width="15" bestFit="1" customWidth="1"/>
    <col min="1292" max="1292" width="13.46484375" bestFit="1" customWidth="1"/>
    <col min="1293" max="1293" width="13" bestFit="1" customWidth="1"/>
    <col min="1294" max="1294" width="20.46484375" customWidth="1"/>
    <col min="1295" max="1295" width="14.33203125" bestFit="1" customWidth="1"/>
    <col min="1296" max="1296" width="14.53125" bestFit="1" customWidth="1"/>
    <col min="1540" max="1540" width="32.86328125" bestFit="1" customWidth="1"/>
    <col min="1541" max="1543" width="0" hidden="1" customWidth="1"/>
    <col min="1545" max="1545" width="14.53125" bestFit="1" customWidth="1"/>
    <col min="1546" max="1546" width="14.33203125" bestFit="1" customWidth="1"/>
    <col min="1547" max="1547" width="15" bestFit="1" customWidth="1"/>
    <col min="1548" max="1548" width="13.46484375" bestFit="1" customWidth="1"/>
    <col min="1549" max="1549" width="13" bestFit="1" customWidth="1"/>
    <col min="1550" max="1550" width="20.46484375" customWidth="1"/>
    <col min="1551" max="1551" width="14.33203125" bestFit="1" customWidth="1"/>
    <col min="1552" max="1552" width="14.53125" bestFit="1" customWidth="1"/>
    <col min="1796" max="1796" width="32.86328125" bestFit="1" customWidth="1"/>
    <col min="1797" max="1799" width="0" hidden="1" customWidth="1"/>
    <col min="1801" max="1801" width="14.53125" bestFit="1" customWidth="1"/>
    <col min="1802" max="1802" width="14.33203125" bestFit="1" customWidth="1"/>
    <col min="1803" max="1803" width="15" bestFit="1" customWidth="1"/>
    <col min="1804" max="1804" width="13.46484375" bestFit="1" customWidth="1"/>
    <col min="1805" max="1805" width="13" bestFit="1" customWidth="1"/>
    <col min="1806" max="1806" width="20.46484375" customWidth="1"/>
    <col min="1807" max="1807" width="14.33203125" bestFit="1" customWidth="1"/>
    <col min="1808" max="1808" width="14.53125" bestFit="1" customWidth="1"/>
    <col min="2052" max="2052" width="32.86328125" bestFit="1" customWidth="1"/>
    <col min="2053" max="2055" width="0" hidden="1" customWidth="1"/>
    <col min="2057" max="2057" width="14.53125" bestFit="1" customWidth="1"/>
    <col min="2058" max="2058" width="14.33203125" bestFit="1" customWidth="1"/>
    <col min="2059" max="2059" width="15" bestFit="1" customWidth="1"/>
    <col min="2060" max="2060" width="13.46484375" bestFit="1" customWidth="1"/>
    <col min="2061" max="2061" width="13" bestFit="1" customWidth="1"/>
    <col min="2062" max="2062" width="20.46484375" customWidth="1"/>
    <col min="2063" max="2063" width="14.33203125" bestFit="1" customWidth="1"/>
    <col min="2064" max="2064" width="14.53125" bestFit="1" customWidth="1"/>
    <col min="2308" max="2308" width="32.86328125" bestFit="1" customWidth="1"/>
    <col min="2309" max="2311" width="0" hidden="1" customWidth="1"/>
    <col min="2313" max="2313" width="14.53125" bestFit="1" customWidth="1"/>
    <col min="2314" max="2314" width="14.33203125" bestFit="1" customWidth="1"/>
    <col min="2315" max="2315" width="15" bestFit="1" customWidth="1"/>
    <col min="2316" max="2316" width="13.46484375" bestFit="1" customWidth="1"/>
    <col min="2317" max="2317" width="13" bestFit="1" customWidth="1"/>
    <col min="2318" max="2318" width="20.46484375" customWidth="1"/>
    <col min="2319" max="2319" width="14.33203125" bestFit="1" customWidth="1"/>
    <col min="2320" max="2320" width="14.53125" bestFit="1" customWidth="1"/>
    <col min="2564" max="2564" width="32.86328125" bestFit="1" customWidth="1"/>
    <col min="2565" max="2567" width="0" hidden="1" customWidth="1"/>
    <col min="2569" max="2569" width="14.53125" bestFit="1" customWidth="1"/>
    <col min="2570" max="2570" width="14.33203125" bestFit="1" customWidth="1"/>
    <col min="2571" max="2571" width="15" bestFit="1" customWidth="1"/>
    <col min="2572" max="2572" width="13.46484375" bestFit="1" customWidth="1"/>
    <col min="2573" max="2573" width="13" bestFit="1" customWidth="1"/>
    <col min="2574" max="2574" width="20.46484375" customWidth="1"/>
    <col min="2575" max="2575" width="14.33203125" bestFit="1" customWidth="1"/>
    <col min="2576" max="2576" width="14.53125" bestFit="1" customWidth="1"/>
    <col min="2820" max="2820" width="32.86328125" bestFit="1" customWidth="1"/>
    <col min="2821" max="2823" width="0" hidden="1" customWidth="1"/>
    <col min="2825" max="2825" width="14.53125" bestFit="1" customWidth="1"/>
    <col min="2826" max="2826" width="14.33203125" bestFit="1" customWidth="1"/>
    <col min="2827" max="2827" width="15" bestFit="1" customWidth="1"/>
    <col min="2828" max="2828" width="13.46484375" bestFit="1" customWidth="1"/>
    <col min="2829" max="2829" width="13" bestFit="1" customWidth="1"/>
    <col min="2830" max="2830" width="20.46484375" customWidth="1"/>
    <col min="2831" max="2831" width="14.33203125" bestFit="1" customWidth="1"/>
    <col min="2832" max="2832" width="14.53125" bestFit="1" customWidth="1"/>
    <col min="3076" max="3076" width="32.86328125" bestFit="1" customWidth="1"/>
    <col min="3077" max="3079" width="0" hidden="1" customWidth="1"/>
    <col min="3081" max="3081" width="14.53125" bestFit="1" customWidth="1"/>
    <col min="3082" max="3082" width="14.33203125" bestFit="1" customWidth="1"/>
    <col min="3083" max="3083" width="15" bestFit="1" customWidth="1"/>
    <col min="3084" max="3084" width="13.46484375" bestFit="1" customWidth="1"/>
    <col min="3085" max="3085" width="13" bestFit="1" customWidth="1"/>
    <col min="3086" max="3086" width="20.46484375" customWidth="1"/>
    <col min="3087" max="3087" width="14.33203125" bestFit="1" customWidth="1"/>
    <col min="3088" max="3088" width="14.53125" bestFit="1" customWidth="1"/>
    <col min="3332" max="3332" width="32.86328125" bestFit="1" customWidth="1"/>
    <col min="3333" max="3335" width="0" hidden="1" customWidth="1"/>
    <col min="3337" max="3337" width="14.53125" bestFit="1" customWidth="1"/>
    <col min="3338" max="3338" width="14.33203125" bestFit="1" customWidth="1"/>
    <col min="3339" max="3339" width="15" bestFit="1" customWidth="1"/>
    <col min="3340" max="3340" width="13.46484375" bestFit="1" customWidth="1"/>
    <col min="3341" max="3341" width="13" bestFit="1" customWidth="1"/>
    <col min="3342" max="3342" width="20.46484375" customWidth="1"/>
    <col min="3343" max="3343" width="14.33203125" bestFit="1" customWidth="1"/>
    <col min="3344" max="3344" width="14.53125" bestFit="1" customWidth="1"/>
    <col min="3588" max="3588" width="32.86328125" bestFit="1" customWidth="1"/>
    <col min="3589" max="3591" width="0" hidden="1" customWidth="1"/>
    <col min="3593" max="3593" width="14.53125" bestFit="1" customWidth="1"/>
    <col min="3594" max="3594" width="14.33203125" bestFit="1" customWidth="1"/>
    <col min="3595" max="3595" width="15" bestFit="1" customWidth="1"/>
    <col min="3596" max="3596" width="13.46484375" bestFit="1" customWidth="1"/>
    <col min="3597" max="3597" width="13" bestFit="1" customWidth="1"/>
    <col min="3598" max="3598" width="20.46484375" customWidth="1"/>
    <col min="3599" max="3599" width="14.33203125" bestFit="1" customWidth="1"/>
    <col min="3600" max="3600" width="14.53125" bestFit="1" customWidth="1"/>
    <col min="3844" max="3844" width="32.86328125" bestFit="1" customWidth="1"/>
    <col min="3845" max="3847" width="0" hidden="1" customWidth="1"/>
    <col min="3849" max="3849" width="14.53125" bestFit="1" customWidth="1"/>
    <col min="3850" max="3850" width="14.33203125" bestFit="1" customWidth="1"/>
    <col min="3851" max="3851" width="15" bestFit="1" customWidth="1"/>
    <col min="3852" max="3852" width="13.46484375" bestFit="1" customWidth="1"/>
    <col min="3853" max="3853" width="13" bestFit="1" customWidth="1"/>
    <col min="3854" max="3854" width="20.46484375" customWidth="1"/>
    <col min="3855" max="3855" width="14.33203125" bestFit="1" customWidth="1"/>
    <col min="3856" max="3856" width="14.53125" bestFit="1" customWidth="1"/>
    <col min="4100" max="4100" width="32.86328125" bestFit="1" customWidth="1"/>
    <col min="4101" max="4103" width="0" hidden="1" customWidth="1"/>
    <col min="4105" max="4105" width="14.53125" bestFit="1" customWidth="1"/>
    <col min="4106" max="4106" width="14.33203125" bestFit="1" customWidth="1"/>
    <col min="4107" max="4107" width="15" bestFit="1" customWidth="1"/>
    <col min="4108" max="4108" width="13.46484375" bestFit="1" customWidth="1"/>
    <col min="4109" max="4109" width="13" bestFit="1" customWidth="1"/>
    <col min="4110" max="4110" width="20.46484375" customWidth="1"/>
    <col min="4111" max="4111" width="14.33203125" bestFit="1" customWidth="1"/>
    <col min="4112" max="4112" width="14.53125" bestFit="1" customWidth="1"/>
    <col min="4356" max="4356" width="32.86328125" bestFit="1" customWidth="1"/>
    <col min="4357" max="4359" width="0" hidden="1" customWidth="1"/>
    <col min="4361" max="4361" width="14.53125" bestFit="1" customWidth="1"/>
    <col min="4362" max="4362" width="14.33203125" bestFit="1" customWidth="1"/>
    <col min="4363" max="4363" width="15" bestFit="1" customWidth="1"/>
    <col min="4364" max="4364" width="13.46484375" bestFit="1" customWidth="1"/>
    <col min="4365" max="4365" width="13" bestFit="1" customWidth="1"/>
    <col min="4366" max="4366" width="20.46484375" customWidth="1"/>
    <col min="4367" max="4367" width="14.33203125" bestFit="1" customWidth="1"/>
    <col min="4368" max="4368" width="14.53125" bestFit="1" customWidth="1"/>
    <col min="4612" max="4612" width="32.86328125" bestFit="1" customWidth="1"/>
    <col min="4613" max="4615" width="0" hidden="1" customWidth="1"/>
    <col min="4617" max="4617" width="14.53125" bestFit="1" customWidth="1"/>
    <col min="4618" max="4618" width="14.33203125" bestFit="1" customWidth="1"/>
    <col min="4619" max="4619" width="15" bestFit="1" customWidth="1"/>
    <col min="4620" max="4620" width="13.46484375" bestFit="1" customWidth="1"/>
    <col min="4621" max="4621" width="13" bestFit="1" customWidth="1"/>
    <col min="4622" max="4622" width="20.46484375" customWidth="1"/>
    <col min="4623" max="4623" width="14.33203125" bestFit="1" customWidth="1"/>
    <col min="4624" max="4624" width="14.53125" bestFit="1" customWidth="1"/>
    <col min="4868" max="4868" width="32.86328125" bestFit="1" customWidth="1"/>
    <col min="4869" max="4871" width="0" hidden="1" customWidth="1"/>
    <col min="4873" max="4873" width="14.53125" bestFit="1" customWidth="1"/>
    <col min="4874" max="4874" width="14.33203125" bestFit="1" customWidth="1"/>
    <col min="4875" max="4875" width="15" bestFit="1" customWidth="1"/>
    <col min="4876" max="4876" width="13.46484375" bestFit="1" customWidth="1"/>
    <col min="4877" max="4877" width="13" bestFit="1" customWidth="1"/>
    <col min="4878" max="4878" width="20.46484375" customWidth="1"/>
    <col min="4879" max="4879" width="14.33203125" bestFit="1" customWidth="1"/>
    <col min="4880" max="4880" width="14.53125" bestFit="1" customWidth="1"/>
    <col min="5124" max="5124" width="32.86328125" bestFit="1" customWidth="1"/>
    <col min="5125" max="5127" width="0" hidden="1" customWidth="1"/>
    <col min="5129" max="5129" width="14.53125" bestFit="1" customWidth="1"/>
    <col min="5130" max="5130" width="14.33203125" bestFit="1" customWidth="1"/>
    <col min="5131" max="5131" width="15" bestFit="1" customWidth="1"/>
    <col min="5132" max="5132" width="13.46484375" bestFit="1" customWidth="1"/>
    <col min="5133" max="5133" width="13" bestFit="1" customWidth="1"/>
    <col min="5134" max="5134" width="20.46484375" customWidth="1"/>
    <col min="5135" max="5135" width="14.33203125" bestFit="1" customWidth="1"/>
    <col min="5136" max="5136" width="14.53125" bestFit="1" customWidth="1"/>
    <col min="5380" max="5380" width="32.86328125" bestFit="1" customWidth="1"/>
    <col min="5381" max="5383" width="0" hidden="1" customWidth="1"/>
    <col min="5385" max="5385" width="14.53125" bestFit="1" customWidth="1"/>
    <col min="5386" max="5386" width="14.33203125" bestFit="1" customWidth="1"/>
    <col min="5387" max="5387" width="15" bestFit="1" customWidth="1"/>
    <col min="5388" max="5388" width="13.46484375" bestFit="1" customWidth="1"/>
    <col min="5389" max="5389" width="13" bestFit="1" customWidth="1"/>
    <col min="5390" max="5390" width="20.46484375" customWidth="1"/>
    <col min="5391" max="5391" width="14.33203125" bestFit="1" customWidth="1"/>
    <col min="5392" max="5392" width="14.53125" bestFit="1" customWidth="1"/>
    <col min="5636" max="5636" width="32.86328125" bestFit="1" customWidth="1"/>
    <col min="5637" max="5639" width="0" hidden="1" customWidth="1"/>
    <col min="5641" max="5641" width="14.53125" bestFit="1" customWidth="1"/>
    <col min="5642" max="5642" width="14.33203125" bestFit="1" customWidth="1"/>
    <col min="5643" max="5643" width="15" bestFit="1" customWidth="1"/>
    <col min="5644" max="5644" width="13.46484375" bestFit="1" customWidth="1"/>
    <col min="5645" max="5645" width="13" bestFit="1" customWidth="1"/>
    <col min="5646" max="5646" width="20.46484375" customWidth="1"/>
    <col min="5647" max="5647" width="14.33203125" bestFit="1" customWidth="1"/>
    <col min="5648" max="5648" width="14.53125" bestFit="1" customWidth="1"/>
    <col min="5892" max="5892" width="32.86328125" bestFit="1" customWidth="1"/>
    <col min="5893" max="5895" width="0" hidden="1" customWidth="1"/>
    <col min="5897" max="5897" width="14.53125" bestFit="1" customWidth="1"/>
    <col min="5898" max="5898" width="14.33203125" bestFit="1" customWidth="1"/>
    <col min="5899" max="5899" width="15" bestFit="1" customWidth="1"/>
    <col min="5900" max="5900" width="13.46484375" bestFit="1" customWidth="1"/>
    <col min="5901" max="5901" width="13" bestFit="1" customWidth="1"/>
    <col min="5902" max="5902" width="20.46484375" customWidth="1"/>
    <col min="5903" max="5903" width="14.33203125" bestFit="1" customWidth="1"/>
    <col min="5904" max="5904" width="14.53125" bestFit="1" customWidth="1"/>
    <col min="6148" max="6148" width="32.86328125" bestFit="1" customWidth="1"/>
    <col min="6149" max="6151" width="0" hidden="1" customWidth="1"/>
    <col min="6153" max="6153" width="14.53125" bestFit="1" customWidth="1"/>
    <col min="6154" max="6154" width="14.33203125" bestFit="1" customWidth="1"/>
    <col min="6155" max="6155" width="15" bestFit="1" customWidth="1"/>
    <col min="6156" max="6156" width="13.46484375" bestFit="1" customWidth="1"/>
    <col min="6157" max="6157" width="13" bestFit="1" customWidth="1"/>
    <col min="6158" max="6158" width="20.46484375" customWidth="1"/>
    <col min="6159" max="6159" width="14.33203125" bestFit="1" customWidth="1"/>
    <col min="6160" max="6160" width="14.53125" bestFit="1" customWidth="1"/>
    <col min="6404" max="6404" width="32.86328125" bestFit="1" customWidth="1"/>
    <col min="6405" max="6407" width="0" hidden="1" customWidth="1"/>
    <col min="6409" max="6409" width="14.53125" bestFit="1" customWidth="1"/>
    <col min="6410" max="6410" width="14.33203125" bestFit="1" customWidth="1"/>
    <col min="6411" max="6411" width="15" bestFit="1" customWidth="1"/>
    <col min="6412" max="6412" width="13.46484375" bestFit="1" customWidth="1"/>
    <col min="6413" max="6413" width="13" bestFit="1" customWidth="1"/>
    <col min="6414" max="6414" width="20.46484375" customWidth="1"/>
    <col min="6415" max="6415" width="14.33203125" bestFit="1" customWidth="1"/>
    <col min="6416" max="6416" width="14.53125" bestFit="1" customWidth="1"/>
    <col min="6660" max="6660" width="32.86328125" bestFit="1" customWidth="1"/>
    <col min="6661" max="6663" width="0" hidden="1" customWidth="1"/>
    <col min="6665" max="6665" width="14.53125" bestFit="1" customWidth="1"/>
    <col min="6666" max="6666" width="14.33203125" bestFit="1" customWidth="1"/>
    <col min="6667" max="6667" width="15" bestFit="1" customWidth="1"/>
    <col min="6668" max="6668" width="13.46484375" bestFit="1" customWidth="1"/>
    <col min="6669" max="6669" width="13" bestFit="1" customWidth="1"/>
    <col min="6670" max="6670" width="20.46484375" customWidth="1"/>
    <col min="6671" max="6671" width="14.33203125" bestFit="1" customWidth="1"/>
    <col min="6672" max="6672" width="14.53125" bestFit="1" customWidth="1"/>
    <col min="6916" max="6916" width="32.86328125" bestFit="1" customWidth="1"/>
    <col min="6917" max="6919" width="0" hidden="1" customWidth="1"/>
    <col min="6921" max="6921" width="14.53125" bestFit="1" customWidth="1"/>
    <col min="6922" max="6922" width="14.33203125" bestFit="1" customWidth="1"/>
    <col min="6923" max="6923" width="15" bestFit="1" customWidth="1"/>
    <col min="6924" max="6924" width="13.46484375" bestFit="1" customWidth="1"/>
    <col min="6925" max="6925" width="13" bestFit="1" customWidth="1"/>
    <col min="6926" max="6926" width="20.46484375" customWidth="1"/>
    <col min="6927" max="6927" width="14.33203125" bestFit="1" customWidth="1"/>
    <col min="6928" max="6928" width="14.53125" bestFit="1" customWidth="1"/>
    <col min="7172" max="7172" width="32.86328125" bestFit="1" customWidth="1"/>
    <col min="7173" max="7175" width="0" hidden="1" customWidth="1"/>
    <col min="7177" max="7177" width="14.53125" bestFit="1" customWidth="1"/>
    <col min="7178" max="7178" width="14.33203125" bestFit="1" customWidth="1"/>
    <col min="7179" max="7179" width="15" bestFit="1" customWidth="1"/>
    <col min="7180" max="7180" width="13.46484375" bestFit="1" customWidth="1"/>
    <col min="7181" max="7181" width="13" bestFit="1" customWidth="1"/>
    <col min="7182" max="7182" width="20.46484375" customWidth="1"/>
    <col min="7183" max="7183" width="14.33203125" bestFit="1" customWidth="1"/>
    <col min="7184" max="7184" width="14.53125" bestFit="1" customWidth="1"/>
    <col min="7428" max="7428" width="32.86328125" bestFit="1" customWidth="1"/>
    <col min="7429" max="7431" width="0" hidden="1" customWidth="1"/>
    <col min="7433" max="7433" width="14.53125" bestFit="1" customWidth="1"/>
    <col min="7434" max="7434" width="14.33203125" bestFit="1" customWidth="1"/>
    <col min="7435" max="7435" width="15" bestFit="1" customWidth="1"/>
    <col min="7436" max="7436" width="13.46484375" bestFit="1" customWidth="1"/>
    <col min="7437" max="7437" width="13" bestFit="1" customWidth="1"/>
    <col min="7438" max="7438" width="20.46484375" customWidth="1"/>
    <col min="7439" max="7439" width="14.33203125" bestFit="1" customWidth="1"/>
    <col min="7440" max="7440" width="14.53125" bestFit="1" customWidth="1"/>
    <col min="7684" max="7684" width="32.86328125" bestFit="1" customWidth="1"/>
    <col min="7685" max="7687" width="0" hidden="1" customWidth="1"/>
    <col min="7689" max="7689" width="14.53125" bestFit="1" customWidth="1"/>
    <col min="7690" max="7690" width="14.33203125" bestFit="1" customWidth="1"/>
    <col min="7691" max="7691" width="15" bestFit="1" customWidth="1"/>
    <col min="7692" max="7692" width="13.46484375" bestFit="1" customWidth="1"/>
    <col min="7693" max="7693" width="13" bestFit="1" customWidth="1"/>
    <col min="7694" max="7694" width="20.46484375" customWidth="1"/>
    <col min="7695" max="7695" width="14.33203125" bestFit="1" customWidth="1"/>
    <col min="7696" max="7696" width="14.53125" bestFit="1" customWidth="1"/>
    <col min="7940" max="7940" width="32.86328125" bestFit="1" customWidth="1"/>
    <col min="7941" max="7943" width="0" hidden="1" customWidth="1"/>
    <col min="7945" max="7945" width="14.53125" bestFit="1" customWidth="1"/>
    <col min="7946" max="7946" width="14.33203125" bestFit="1" customWidth="1"/>
    <col min="7947" max="7947" width="15" bestFit="1" customWidth="1"/>
    <col min="7948" max="7948" width="13.46484375" bestFit="1" customWidth="1"/>
    <col min="7949" max="7949" width="13" bestFit="1" customWidth="1"/>
    <col min="7950" max="7950" width="20.46484375" customWidth="1"/>
    <col min="7951" max="7951" width="14.33203125" bestFit="1" customWidth="1"/>
    <col min="7952" max="7952" width="14.53125" bestFit="1" customWidth="1"/>
    <col min="8196" max="8196" width="32.86328125" bestFit="1" customWidth="1"/>
    <col min="8197" max="8199" width="0" hidden="1" customWidth="1"/>
    <col min="8201" max="8201" width="14.53125" bestFit="1" customWidth="1"/>
    <col min="8202" max="8202" width="14.33203125" bestFit="1" customWidth="1"/>
    <col min="8203" max="8203" width="15" bestFit="1" customWidth="1"/>
    <col min="8204" max="8204" width="13.46484375" bestFit="1" customWidth="1"/>
    <col min="8205" max="8205" width="13" bestFit="1" customWidth="1"/>
    <col min="8206" max="8206" width="20.46484375" customWidth="1"/>
    <col min="8207" max="8207" width="14.33203125" bestFit="1" customWidth="1"/>
    <col min="8208" max="8208" width="14.53125" bestFit="1" customWidth="1"/>
    <col min="8452" max="8452" width="32.86328125" bestFit="1" customWidth="1"/>
    <col min="8453" max="8455" width="0" hidden="1" customWidth="1"/>
    <col min="8457" max="8457" width="14.53125" bestFit="1" customWidth="1"/>
    <col min="8458" max="8458" width="14.33203125" bestFit="1" customWidth="1"/>
    <col min="8459" max="8459" width="15" bestFit="1" customWidth="1"/>
    <col min="8460" max="8460" width="13.46484375" bestFit="1" customWidth="1"/>
    <col min="8461" max="8461" width="13" bestFit="1" customWidth="1"/>
    <col min="8462" max="8462" width="20.46484375" customWidth="1"/>
    <col min="8463" max="8463" width="14.33203125" bestFit="1" customWidth="1"/>
    <col min="8464" max="8464" width="14.53125" bestFit="1" customWidth="1"/>
    <col min="8708" max="8708" width="32.86328125" bestFit="1" customWidth="1"/>
    <col min="8709" max="8711" width="0" hidden="1" customWidth="1"/>
    <col min="8713" max="8713" width="14.53125" bestFit="1" customWidth="1"/>
    <col min="8714" max="8714" width="14.33203125" bestFit="1" customWidth="1"/>
    <col min="8715" max="8715" width="15" bestFit="1" customWidth="1"/>
    <col min="8716" max="8716" width="13.46484375" bestFit="1" customWidth="1"/>
    <col min="8717" max="8717" width="13" bestFit="1" customWidth="1"/>
    <col min="8718" max="8718" width="20.46484375" customWidth="1"/>
    <col min="8719" max="8719" width="14.33203125" bestFit="1" customWidth="1"/>
    <col min="8720" max="8720" width="14.53125" bestFit="1" customWidth="1"/>
    <col min="8964" max="8964" width="32.86328125" bestFit="1" customWidth="1"/>
    <col min="8965" max="8967" width="0" hidden="1" customWidth="1"/>
    <col min="8969" max="8969" width="14.53125" bestFit="1" customWidth="1"/>
    <col min="8970" max="8970" width="14.33203125" bestFit="1" customWidth="1"/>
    <col min="8971" max="8971" width="15" bestFit="1" customWidth="1"/>
    <col min="8972" max="8972" width="13.46484375" bestFit="1" customWidth="1"/>
    <col min="8973" max="8973" width="13" bestFit="1" customWidth="1"/>
    <col min="8974" max="8974" width="20.46484375" customWidth="1"/>
    <col min="8975" max="8975" width="14.33203125" bestFit="1" customWidth="1"/>
    <col min="8976" max="8976" width="14.53125" bestFit="1" customWidth="1"/>
    <col min="9220" max="9220" width="32.86328125" bestFit="1" customWidth="1"/>
    <col min="9221" max="9223" width="0" hidden="1" customWidth="1"/>
    <col min="9225" max="9225" width="14.53125" bestFit="1" customWidth="1"/>
    <col min="9226" max="9226" width="14.33203125" bestFit="1" customWidth="1"/>
    <col min="9227" max="9227" width="15" bestFit="1" customWidth="1"/>
    <col min="9228" max="9228" width="13.46484375" bestFit="1" customWidth="1"/>
    <col min="9229" max="9229" width="13" bestFit="1" customWidth="1"/>
    <col min="9230" max="9230" width="20.46484375" customWidth="1"/>
    <col min="9231" max="9231" width="14.33203125" bestFit="1" customWidth="1"/>
    <col min="9232" max="9232" width="14.53125" bestFit="1" customWidth="1"/>
    <col min="9476" max="9476" width="32.86328125" bestFit="1" customWidth="1"/>
    <col min="9477" max="9479" width="0" hidden="1" customWidth="1"/>
    <col min="9481" max="9481" width="14.53125" bestFit="1" customWidth="1"/>
    <col min="9482" max="9482" width="14.33203125" bestFit="1" customWidth="1"/>
    <col min="9483" max="9483" width="15" bestFit="1" customWidth="1"/>
    <col min="9484" max="9484" width="13.46484375" bestFit="1" customWidth="1"/>
    <col min="9485" max="9485" width="13" bestFit="1" customWidth="1"/>
    <col min="9486" max="9486" width="20.46484375" customWidth="1"/>
    <col min="9487" max="9487" width="14.33203125" bestFit="1" customWidth="1"/>
    <col min="9488" max="9488" width="14.53125" bestFit="1" customWidth="1"/>
    <col min="9732" max="9732" width="32.86328125" bestFit="1" customWidth="1"/>
    <col min="9733" max="9735" width="0" hidden="1" customWidth="1"/>
    <col min="9737" max="9737" width="14.53125" bestFit="1" customWidth="1"/>
    <col min="9738" max="9738" width="14.33203125" bestFit="1" customWidth="1"/>
    <col min="9739" max="9739" width="15" bestFit="1" customWidth="1"/>
    <col min="9740" max="9740" width="13.46484375" bestFit="1" customWidth="1"/>
    <col min="9741" max="9741" width="13" bestFit="1" customWidth="1"/>
    <col min="9742" max="9742" width="20.46484375" customWidth="1"/>
    <col min="9743" max="9743" width="14.33203125" bestFit="1" customWidth="1"/>
    <col min="9744" max="9744" width="14.53125" bestFit="1" customWidth="1"/>
    <col min="9988" max="9988" width="32.86328125" bestFit="1" customWidth="1"/>
    <col min="9989" max="9991" width="0" hidden="1" customWidth="1"/>
    <col min="9993" max="9993" width="14.53125" bestFit="1" customWidth="1"/>
    <col min="9994" max="9994" width="14.33203125" bestFit="1" customWidth="1"/>
    <col min="9995" max="9995" width="15" bestFit="1" customWidth="1"/>
    <col min="9996" max="9996" width="13.46484375" bestFit="1" customWidth="1"/>
    <col min="9997" max="9997" width="13" bestFit="1" customWidth="1"/>
    <col min="9998" max="9998" width="20.46484375" customWidth="1"/>
    <col min="9999" max="9999" width="14.33203125" bestFit="1" customWidth="1"/>
    <col min="10000" max="10000" width="14.53125" bestFit="1" customWidth="1"/>
    <col min="10244" max="10244" width="32.86328125" bestFit="1" customWidth="1"/>
    <col min="10245" max="10247" width="0" hidden="1" customWidth="1"/>
    <col min="10249" max="10249" width="14.53125" bestFit="1" customWidth="1"/>
    <col min="10250" max="10250" width="14.33203125" bestFit="1" customWidth="1"/>
    <col min="10251" max="10251" width="15" bestFit="1" customWidth="1"/>
    <col min="10252" max="10252" width="13.46484375" bestFit="1" customWidth="1"/>
    <col min="10253" max="10253" width="13" bestFit="1" customWidth="1"/>
    <col min="10254" max="10254" width="20.46484375" customWidth="1"/>
    <col min="10255" max="10255" width="14.33203125" bestFit="1" customWidth="1"/>
    <col min="10256" max="10256" width="14.53125" bestFit="1" customWidth="1"/>
    <col min="10500" max="10500" width="32.86328125" bestFit="1" customWidth="1"/>
    <col min="10501" max="10503" width="0" hidden="1" customWidth="1"/>
    <col min="10505" max="10505" width="14.53125" bestFit="1" customWidth="1"/>
    <col min="10506" max="10506" width="14.33203125" bestFit="1" customWidth="1"/>
    <col min="10507" max="10507" width="15" bestFit="1" customWidth="1"/>
    <col min="10508" max="10508" width="13.46484375" bestFit="1" customWidth="1"/>
    <col min="10509" max="10509" width="13" bestFit="1" customWidth="1"/>
    <col min="10510" max="10510" width="20.46484375" customWidth="1"/>
    <col min="10511" max="10511" width="14.33203125" bestFit="1" customWidth="1"/>
    <col min="10512" max="10512" width="14.53125" bestFit="1" customWidth="1"/>
    <col min="10756" max="10756" width="32.86328125" bestFit="1" customWidth="1"/>
    <col min="10757" max="10759" width="0" hidden="1" customWidth="1"/>
    <col min="10761" max="10761" width="14.53125" bestFit="1" customWidth="1"/>
    <col min="10762" max="10762" width="14.33203125" bestFit="1" customWidth="1"/>
    <col min="10763" max="10763" width="15" bestFit="1" customWidth="1"/>
    <col min="10764" max="10764" width="13.46484375" bestFit="1" customWidth="1"/>
    <col min="10765" max="10765" width="13" bestFit="1" customWidth="1"/>
    <col min="10766" max="10766" width="20.46484375" customWidth="1"/>
    <col min="10767" max="10767" width="14.33203125" bestFit="1" customWidth="1"/>
    <col min="10768" max="10768" width="14.53125" bestFit="1" customWidth="1"/>
    <col min="11012" max="11012" width="32.86328125" bestFit="1" customWidth="1"/>
    <col min="11013" max="11015" width="0" hidden="1" customWidth="1"/>
    <col min="11017" max="11017" width="14.53125" bestFit="1" customWidth="1"/>
    <col min="11018" max="11018" width="14.33203125" bestFit="1" customWidth="1"/>
    <col min="11019" max="11019" width="15" bestFit="1" customWidth="1"/>
    <col min="11020" max="11020" width="13.46484375" bestFit="1" customWidth="1"/>
    <col min="11021" max="11021" width="13" bestFit="1" customWidth="1"/>
    <col min="11022" max="11022" width="20.46484375" customWidth="1"/>
    <col min="11023" max="11023" width="14.33203125" bestFit="1" customWidth="1"/>
    <col min="11024" max="11024" width="14.53125" bestFit="1" customWidth="1"/>
    <col min="11268" max="11268" width="32.86328125" bestFit="1" customWidth="1"/>
    <col min="11269" max="11271" width="0" hidden="1" customWidth="1"/>
    <col min="11273" max="11273" width="14.53125" bestFit="1" customWidth="1"/>
    <col min="11274" max="11274" width="14.33203125" bestFit="1" customWidth="1"/>
    <col min="11275" max="11275" width="15" bestFit="1" customWidth="1"/>
    <col min="11276" max="11276" width="13.46484375" bestFit="1" customWidth="1"/>
    <col min="11277" max="11277" width="13" bestFit="1" customWidth="1"/>
    <col min="11278" max="11278" width="20.46484375" customWidth="1"/>
    <col min="11279" max="11279" width="14.33203125" bestFit="1" customWidth="1"/>
    <col min="11280" max="11280" width="14.53125" bestFit="1" customWidth="1"/>
    <col min="11524" max="11524" width="32.86328125" bestFit="1" customWidth="1"/>
    <col min="11525" max="11527" width="0" hidden="1" customWidth="1"/>
    <col min="11529" max="11529" width="14.53125" bestFit="1" customWidth="1"/>
    <col min="11530" max="11530" width="14.33203125" bestFit="1" customWidth="1"/>
    <col min="11531" max="11531" width="15" bestFit="1" customWidth="1"/>
    <col min="11532" max="11532" width="13.46484375" bestFit="1" customWidth="1"/>
    <col min="11533" max="11533" width="13" bestFit="1" customWidth="1"/>
    <col min="11534" max="11534" width="20.46484375" customWidth="1"/>
    <col min="11535" max="11535" width="14.33203125" bestFit="1" customWidth="1"/>
    <col min="11536" max="11536" width="14.53125" bestFit="1" customWidth="1"/>
    <col min="11780" max="11780" width="32.86328125" bestFit="1" customWidth="1"/>
    <col min="11781" max="11783" width="0" hidden="1" customWidth="1"/>
    <col min="11785" max="11785" width="14.53125" bestFit="1" customWidth="1"/>
    <col min="11786" max="11786" width="14.33203125" bestFit="1" customWidth="1"/>
    <col min="11787" max="11787" width="15" bestFit="1" customWidth="1"/>
    <col min="11788" max="11788" width="13.46484375" bestFit="1" customWidth="1"/>
    <col min="11789" max="11789" width="13" bestFit="1" customWidth="1"/>
    <col min="11790" max="11790" width="20.46484375" customWidth="1"/>
    <col min="11791" max="11791" width="14.33203125" bestFit="1" customWidth="1"/>
    <col min="11792" max="11792" width="14.53125" bestFit="1" customWidth="1"/>
    <col min="12036" max="12036" width="32.86328125" bestFit="1" customWidth="1"/>
    <col min="12037" max="12039" width="0" hidden="1" customWidth="1"/>
    <col min="12041" max="12041" width="14.53125" bestFit="1" customWidth="1"/>
    <col min="12042" max="12042" width="14.33203125" bestFit="1" customWidth="1"/>
    <col min="12043" max="12043" width="15" bestFit="1" customWidth="1"/>
    <col min="12044" max="12044" width="13.46484375" bestFit="1" customWidth="1"/>
    <col min="12045" max="12045" width="13" bestFit="1" customWidth="1"/>
    <col min="12046" max="12046" width="20.46484375" customWidth="1"/>
    <col min="12047" max="12047" width="14.33203125" bestFit="1" customWidth="1"/>
    <col min="12048" max="12048" width="14.53125" bestFit="1" customWidth="1"/>
    <col min="12292" max="12292" width="32.86328125" bestFit="1" customWidth="1"/>
    <col min="12293" max="12295" width="0" hidden="1" customWidth="1"/>
    <col min="12297" max="12297" width="14.53125" bestFit="1" customWidth="1"/>
    <col min="12298" max="12298" width="14.33203125" bestFit="1" customWidth="1"/>
    <col min="12299" max="12299" width="15" bestFit="1" customWidth="1"/>
    <col min="12300" max="12300" width="13.46484375" bestFit="1" customWidth="1"/>
    <col min="12301" max="12301" width="13" bestFit="1" customWidth="1"/>
    <col min="12302" max="12302" width="20.46484375" customWidth="1"/>
    <col min="12303" max="12303" width="14.33203125" bestFit="1" customWidth="1"/>
    <col min="12304" max="12304" width="14.53125" bestFit="1" customWidth="1"/>
    <col min="12548" max="12548" width="32.86328125" bestFit="1" customWidth="1"/>
    <col min="12549" max="12551" width="0" hidden="1" customWidth="1"/>
    <col min="12553" max="12553" width="14.53125" bestFit="1" customWidth="1"/>
    <col min="12554" max="12554" width="14.33203125" bestFit="1" customWidth="1"/>
    <col min="12555" max="12555" width="15" bestFit="1" customWidth="1"/>
    <col min="12556" max="12556" width="13.46484375" bestFit="1" customWidth="1"/>
    <col min="12557" max="12557" width="13" bestFit="1" customWidth="1"/>
    <col min="12558" max="12558" width="20.46484375" customWidth="1"/>
    <col min="12559" max="12559" width="14.33203125" bestFit="1" customWidth="1"/>
    <col min="12560" max="12560" width="14.53125" bestFit="1" customWidth="1"/>
    <col min="12804" max="12804" width="32.86328125" bestFit="1" customWidth="1"/>
    <col min="12805" max="12807" width="0" hidden="1" customWidth="1"/>
    <col min="12809" max="12809" width="14.53125" bestFit="1" customWidth="1"/>
    <col min="12810" max="12810" width="14.33203125" bestFit="1" customWidth="1"/>
    <col min="12811" max="12811" width="15" bestFit="1" customWidth="1"/>
    <col min="12812" max="12812" width="13.46484375" bestFit="1" customWidth="1"/>
    <col min="12813" max="12813" width="13" bestFit="1" customWidth="1"/>
    <col min="12814" max="12814" width="20.46484375" customWidth="1"/>
    <col min="12815" max="12815" width="14.33203125" bestFit="1" customWidth="1"/>
    <col min="12816" max="12816" width="14.53125" bestFit="1" customWidth="1"/>
    <col min="13060" max="13060" width="32.86328125" bestFit="1" customWidth="1"/>
    <col min="13061" max="13063" width="0" hidden="1" customWidth="1"/>
    <col min="13065" max="13065" width="14.53125" bestFit="1" customWidth="1"/>
    <col min="13066" max="13066" width="14.33203125" bestFit="1" customWidth="1"/>
    <col min="13067" max="13067" width="15" bestFit="1" customWidth="1"/>
    <col min="13068" max="13068" width="13.46484375" bestFit="1" customWidth="1"/>
    <col min="13069" max="13069" width="13" bestFit="1" customWidth="1"/>
    <col min="13070" max="13070" width="20.46484375" customWidth="1"/>
    <col min="13071" max="13071" width="14.33203125" bestFit="1" customWidth="1"/>
    <col min="13072" max="13072" width="14.53125" bestFit="1" customWidth="1"/>
    <col min="13316" max="13316" width="32.86328125" bestFit="1" customWidth="1"/>
    <col min="13317" max="13319" width="0" hidden="1" customWidth="1"/>
    <col min="13321" max="13321" width="14.53125" bestFit="1" customWidth="1"/>
    <col min="13322" max="13322" width="14.33203125" bestFit="1" customWidth="1"/>
    <col min="13323" max="13323" width="15" bestFit="1" customWidth="1"/>
    <col min="13324" max="13324" width="13.46484375" bestFit="1" customWidth="1"/>
    <col min="13325" max="13325" width="13" bestFit="1" customWidth="1"/>
    <col min="13326" max="13326" width="20.46484375" customWidth="1"/>
    <col min="13327" max="13327" width="14.33203125" bestFit="1" customWidth="1"/>
    <col min="13328" max="13328" width="14.53125" bestFit="1" customWidth="1"/>
    <col min="13572" max="13572" width="32.86328125" bestFit="1" customWidth="1"/>
    <col min="13573" max="13575" width="0" hidden="1" customWidth="1"/>
    <col min="13577" max="13577" width="14.53125" bestFit="1" customWidth="1"/>
    <col min="13578" max="13578" width="14.33203125" bestFit="1" customWidth="1"/>
    <col min="13579" max="13579" width="15" bestFit="1" customWidth="1"/>
    <col min="13580" max="13580" width="13.46484375" bestFit="1" customWidth="1"/>
    <col min="13581" max="13581" width="13" bestFit="1" customWidth="1"/>
    <col min="13582" max="13582" width="20.46484375" customWidth="1"/>
    <col min="13583" max="13583" width="14.33203125" bestFit="1" customWidth="1"/>
    <col min="13584" max="13584" width="14.53125" bestFit="1" customWidth="1"/>
    <col min="13828" max="13828" width="32.86328125" bestFit="1" customWidth="1"/>
    <col min="13829" max="13831" width="0" hidden="1" customWidth="1"/>
    <col min="13833" max="13833" width="14.53125" bestFit="1" customWidth="1"/>
    <col min="13834" max="13834" width="14.33203125" bestFit="1" customWidth="1"/>
    <col min="13835" max="13835" width="15" bestFit="1" customWidth="1"/>
    <col min="13836" max="13836" width="13.46484375" bestFit="1" customWidth="1"/>
    <col min="13837" max="13837" width="13" bestFit="1" customWidth="1"/>
    <col min="13838" max="13838" width="20.46484375" customWidth="1"/>
    <col min="13839" max="13839" width="14.33203125" bestFit="1" customWidth="1"/>
    <col min="13840" max="13840" width="14.53125" bestFit="1" customWidth="1"/>
    <col min="14084" max="14084" width="32.86328125" bestFit="1" customWidth="1"/>
    <col min="14085" max="14087" width="0" hidden="1" customWidth="1"/>
    <col min="14089" max="14089" width="14.53125" bestFit="1" customWidth="1"/>
    <col min="14090" max="14090" width="14.33203125" bestFit="1" customWidth="1"/>
    <col min="14091" max="14091" width="15" bestFit="1" customWidth="1"/>
    <col min="14092" max="14092" width="13.46484375" bestFit="1" customWidth="1"/>
    <col min="14093" max="14093" width="13" bestFit="1" customWidth="1"/>
    <col min="14094" max="14094" width="20.46484375" customWidth="1"/>
    <col min="14095" max="14095" width="14.33203125" bestFit="1" customWidth="1"/>
    <col min="14096" max="14096" width="14.53125" bestFit="1" customWidth="1"/>
    <col min="14340" max="14340" width="32.86328125" bestFit="1" customWidth="1"/>
    <col min="14341" max="14343" width="0" hidden="1" customWidth="1"/>
    <col min="14345" max="14345" width="14.53125" bestFit="1" customWidth="1"/>
    <col min="14346" max="14346" width="14.33203125" bestFit="1" customWidth="1"/>
    <col min="14347" max="14347" width="15" bestFit="1" customWidth="1"/>
    <col min="14348" max="14348" width="13.46484375" bestFit="1" customWidth="1"/>
    <col min="14349" max="14349" width="13" bestFit="1" customWidth="1"/>
    <col min="14350" max="14350" width="20.46484375" customWidth="1"/>
    <col min="14351" max="14351" width="14.33203125" bestFit="1" customWidth="1"/>
    <col min="14352" max="14352" width="14.53125" bestFit="1" customWidth="1"/>
    <col min="14596" max="14596" width="32.86328125" bestFit="1" customWidth="1"/>
    <col min="14597" max="14599" width="0" hidden="1" customWidth="1"/>
    <col min="14601" max="14601" width="14.53125" bestFit="1" customWidth="1"/>
    <col min="14602" max="14602" width="14.33203125" bestFit="1" customWidth="1"/>
    <col min="14603" max="14603" width="15" bestFit="1" customWidth="1"/>
    <col min="14604" max="14604" width="13.46484375" bestFit="1" customWidth="1"/>
    <col min="14605" max="14605" width="13" bestFit="1" customWidth="1"/>
    <col min="14606" max="14606" width="20.46484375" customWidth="1"/>
    <col min="14607" max="14607" width="14.33203125" bestFit="1" customWidth="1"/>
    <col min="14608" max="14608" width="14.53125" bestFit="1" customWidth="1"/>
    <col min="14852" max="14852" width="32.86328125" bestFit="1" customWidth="1"/>
    <col min="14853" max="14855" width="0" hidden="1" customWidth="1"/>
    <col min="14857" max="14857" width="14.53125" bestFit="1" customWidth="1"/>
    <col min="14858" max="14858" width="14.33203125" bestFit="1" customWidth="1"/>
    <col min="14859" max="14859" width="15" bestFit="1" customWidth="1"/>
    <col min="14860" max="14860" width="13.46484375" bestFit="1" customWidth="1"/>
    <col min="14861" max="14861" width="13" bestFit="1" customWidth="1"/>
    <col min="14862" max="14862" width="20.46484375" customWidth="1"/>
    <col min="14863" max="14863" width="14.33203125" bestFit="1" customWidth="1"/>
    <col min="14864" max="14864" width="14.53125" bestFit="1" customWidth="1"/>
    <col min="15108" max="15108" width="32.86328125" bestFit="1" customWidth="1"/>
    <col min="15109" max="15111" width="0" hidden="1" customWidth="1"/>
    <col min="15113" max="15113" width="14.53125" bestFit="1" customWidth="1"/>
    <col min="15114" max="15114" width="14.33203125" bestFit="1" customWidth="1"/>
    <col min="15115" max="15115" width="15" bestFit="1" customWidth="1"/>
    <col min="15116" max="15116" width="13.46484375" bestFit="1" customWidth="1"/>
    <col min="15117" max="15117" width="13" bestFit="1" customWidth="1"/>
    <col min="15118" max="15118" width="20.46484375" customWidth="1"/>
    <col min="15119" max="15119" width="14.33203125" bestFit="1" customWidth="1"/>
    <col min="15120" max="15120" width="14.53125" bestFit="1" customWidth="1"/>
    <col min="15364" max="15364" width="32.86328125" bestFit="1" customWidth="1"/>
    <col min="15365" max="15367" width="0" hidden="1" customWidth="1"/>
    <col min="15369" max="15369" width="14.53125" bestFit="1" customWidth="1"/>
    <col min="15370" max="15370" width="14.33203125" bestFit="1" customWidth="1"/>
    <col min="15371" max="15371" width="15" bestFit="1" customWidth="1"/>
    <col min="15372" max="15372" width="13.46484375" bestFit="1" customWidth="1"/>
    <col min="15373" max="15373" width="13" bestFit="1" customWidth="1"/>
    <col min="15374" max="15374" width="20.46484375" customWidth="1"/>
    <col min="15375" max="15375" width="14.33203125" bestFit="1" customWidth="1"/>
    <col min="15376" max="15376" width="14.53125" bestFit="1" customWidth="1"/>
    <col min="15620" max="15620" width="32.86328125" bestFit="1" customWidth="1"/>
    <col min="15621" max="15623" width="0" hidden="1" customWidth="1"/>
    <col min="15625" max="15625" width="14.53125" bestFit="1" customWidth="1"/>
    <col min="15626" max="15626" width="14.33203125" bestFit="1" customWidth="1"/>
    <col min="15627" max="15627" width="15" bestFit="1" customWidth="1"/>
    <col min="15628" max="15628" width="13.46484375" bestFit="1" customWidth="1"/>
    <col min="15629" max="15629" width="13" bestFit="1" customWidth="1"/>
    <col min="15630" max="15630" width="20.46484375" customWidth="1"/>
    <col min="15631" max="15631" width="14.33203125" bestFit="1" customWidth="1"/>
    <col min="15632" max="15632" width="14.53125" bestFit="1" customWidth="1"/>
    <col min="15876" max="15876" width="32.86328125" bestFit="1" customWidth="1"/>
    <col min="15877" max="15879" width="0" hidden="1" customWidth="1"/>
    <col min="15881" max="15881" width="14.53125" bestFit="1" customWidth="1"/>
    <col min="15882" max="15882" width="14.33203125" bestFit="1" customWidth="1"/>
    <col min="15883" max="15883" width="15" bestFit="1" customWidth="1"/>
    <col min="15884" max="15884" width="13.46484375" bestFit="1" customWidth="1"/>
    <col min="15885" max="15885" width="13" bestFit="1" customWidth="1"/>
    <col min="15886" max="15886" width="20.46484375" customWidth="1"/>
    <col min="15887" max="15887" width="14.33203125" bestFit="1" customWidth="1"/>
    <col min="15888" max="15888" width="14.53125" bestFit="1" customWidth="1"/>
    <col min="16132" max="16132" width="32.86328125" bestFit="1" customWidth="1"/>
    <col min="16133" max="16135" width="0" hidden="1" customWidth="1"/>
    <col min="16137" max="16137" width="14.53125" bestFit="1" customWidth="1"/>
    <col min="16138" max="16138" width="14.33203125" bestFit="1" customWidth="1"/>
    <col min="16139" max="16139" width="15" bestFit="1" customWidth="1"/>
    <col min="16140" max="16140" width="13.46484375" bestFit="1" customWidth="1"/>
    <col min="16141" max="16141" width="13" bestFit="1" customWidth="1"/>
    <col min="16142" max="16142" width="20.46484375" customWidth="1"/>
    <col min="16143" max="16143" width="14.33203125" bestFit="1" customWidth="1"/>
    <col min="16144" max="16144" width="14.53125" bestFit="1" customWidth="1"/>
  </cols>
  <sheetData>
    <row r="1" spans="4:18" x14ac:dyDescent="0.45">
      <c r="E1" t="s">
        <v>0</v>
      </c>
      <c r="G1" t="s">
        <v>1</v>
      </c>
      <c r="I1" s="1">
        <v>2023</v>
      </c>
      <c r="J1" s="1">
        <v>2022</v>
      </c>
    </row>
    <row r="2" spans="4:18" x14ac:dyDescent="0.45">
      <c r="D2" s="2" t="s">
        <v>2</v>
      </c>
    </row>
    <row r="3" spans="4:18" x14ac:dyDescent="0.45">
      <c r="D3" s="3" t="s">
        <v>3</v>
      </c>
      <c r="K3" s="3" t="s">
        <v>4</v>
      </c>
      <c r="L3" s="15" t="s">
        <v>5</v>
      </c>
    </row>
    <row r="4" spans="4:18" ht="15.75" x14ac:dyDescent="0.5">
      <c r="D4" s="3" t="s">
        <v>6</v>
      </c>
      <c r="E4">
        <v>12375</v>
      </c>
      <c r="G4">
        <v>14690</v>
      </c>
      <c r="I4" s="5"/>
      <c r="J4" s="5"/>
      <c r="M4">
        <v>1</v>
      </c>
      <c r="N4" s="24" t="s">
        <v>7</v>
      </c>
      <c r="O4" s="17">
        <f>+(I29/I84)</f>
        <v>1.3132611233106826</v>
      </c>
      <c r="P4" s="17" t="s">
        <v>138</v>
      </c>
      <c r="Q4" s="18"/>
      <c r="R4" s="18"/>
    </row>
    <row r="5" spans="4:18" ht="15.75" x14ac:dyDescent="0.5">
      <c r="D5" t="s">
        <v>8</v>
      </c>
      <c r="I5" s="5">
        <v>96774</v>
      </c>
      <c r="J5" s="5">
        <v>148752</v>
      </c>
      <c r="K5" s="6">
        <f>+(I5-J5)/J5</f>
        <v>-0.3494272345918038</v>
      </c>
      <c r="L5" s="6">
        <f>+I5/I54</f>
        <v>3.2440912679323586E-2</v>
      </c>
      <c r="N5" s="18"/>
      <c r="O5" s="18"/>
      <c r="P5" s="18"/>
      <c r="Q5" s="18"/>
      <c r="R5" s="18"/>
    </row>
    <row r="6" spans="4:18" ht="15.75" x14ac:dyDescent="0.5">
      <c r="D6" t="s">
        <v>9</v>
      </c>
      <c r="I6" s="5">
        <v>101541</v>
      </c>
      <c r="J6" s="5">
        <v>310113</v>
      </c>
      <c r="K6" s="6">
        <f>+(I6-J6)/J6</f>
        <v>-0.67256774143618614</v>
      </c>
      <c r="L6" s="6">
        <f>+I6/$I$54</f>
        <v>3.4038922793014612E-2</v>
      </c>
      <c r="M6">
        <v>2</v>
      </c>
      <c r="N6" s="24" t="s">
        <v>10</v>
      </c>
      <c r="O6" s="17">
        <f>+(I29-I27)/I84</f>
        <v>0.67253937891933713</v>
      </c>
      <c r="P6" s="17"/>
      <c r="Q6" s="18"/>
      <c r="R6" s="18"/>
    </row>
    <row r="7" spans="4:18" ht="15.75" x14ac:dyDescent="0.5">
      <c r="I7" s="5">
        <f>SUM(I5:I6)</f>
        <v>198315</v>
      </c>
      <c r="J7" s="5">
        <f>SUM(J5:J6)</f>
        <v>458865</v>
      </c>
      <c r="K7" s="6">
        <f>+(I7-J7)/J7</f>
        <v>-0.56781406295969405</v>
      </c>
      <c r="L7" s="6">
        <f>+I7/$I$54</f>
        <v>6.6479835472338197E-2</v>
      </c>
      <c r="N7" s="18"/>
      <c r="O7" s="18"/>
      <c r="P7" s="18"/>
      <c r="Q7" s="18"/>
      <c r="R7" s="18"/>
    </row>
    <row r="8" spans="4:18" ht="15.75" x14ac:dyDescent="0.5">
      <c r="I8" s="5"/>
      <c r="K8" s="6"/>
      <c r="L8" s="6"/>
      <c r="M8">
        <v>3</v>
      </c>
      <c r="N8" s="24" t="s">
        <v>11</v>
      </c>
      <c r="O8" s="17">
        <f>+(I7+I12)/I84</f>
        <v>0.47694412063889691</v>
      </c>
      <c r="P8" s="17"/>
      <c r="Q8" s="18"/>
      <c r="R8" s="18"/>
    </row>
    <row r="9" spans="4:18" ht="15.75" x14ac:dyDescent="0.5">
      <c r="D9" s="3" t="s">
        <v>12</v>
      </c>
      <c r="E9">
        <v>9900</v>
      </c>
      <c r="I9" s="5"/>
      <c r="J9" s="5"/>
      <c r="K9" s="6"/>
      <c r="L9" s="6"/>
      <c r="N9" s="18"/>
      <c r="O9" s="18"/>
      <c r="P9" s="18"/>
      <c r="Q9" s="18"/>
      <c r="R9" s="18"/>
    </row>
    <row r="10" spans="4:18" ht="15.75" x14ac:dyDescent="0.5">
      <c r="D10" t="s">
        <v>13</v>
      </c>
      <c r="I10" s="5">
        <v>206670</v>
      </c>
      <c r="J10" s="5">
        <v>0</v>
      </c>
      <c r="K10" s="6"/>
      <c r="L10" s="6">
        <f t="shared" ref="L10:L54" si="0">+I10/$I$54</f>
        <v>6.9280627270091197E-2</v>
      </c>
      <c r="M10">
        <v>4</v>
      </c>
      <c r="N10" s="24" t="s">
        <v>14</v>
      </c>
      <c r="O10" s="17">
        <f>+I108/I102</f>
        <v>1.1722098248297044</v>
      </c>
      <c r="P10" s="17" t="s">
        <v>140</v>
      </c>
      <c r="Q10" s="18"/>
      <c r="R10" s="18"/>
    </row>
    <row r="11" spans="4:18" ht="15.75" x14ac:dyDescent="0.5">
      <c r="D11" t="s">
        <v>15</v>
      </c>
      <c r="I11" s="5">
        <v>250000</v>
      </c>
      <c r="J11" s="5">
        <v>0</v>
      </c>
      <c r="K11" s="6"/>
      <c r="L11" s="6">
        <f t="shared" si="0"/>
        <v>8.3805858699969996E-2</v>
      </c>
      <c r="N11" s="18"/>
      <c r="O11" s="18"/>
      <c r="P11" s="18"/>
      <c r="Q11" s="18"/>
      <c r="R11" s="18"/>
    </row>
    <row r="12" spans="4:18" ht="15.75" x14ac:dyDescent="0.5">
      <c r="I12" s="5">
        <f>SUM(I10:I11)</f>
        <v>456670</v>
      </c>
      <c r="J12" s="5">
        <f>SUM(J10:J11)</f>
        <v>0</v>
      </c>
      <c r="K12" s="6"/>
      <c r="L12" s="6">
        <f t="shared" si="0"/>
        <v>0.15308648597006119</v>
      </c>
      <c r="M12">
        <v>5</v>
      </c>
      <c r="N12" s="24" t="s">
        <v>16</v>
      </c>
      <c r="O12" s="17">
        <f>+I84/I54</f>
        <v>0.46036068365467292</v>
      </c>
      <c r="P12" s="17" t="s">
        <v>139</v>
      </c>
      <c r="Q12" s="18"/>
      <c r="R12" s="18"/>
    </row>
    <row r="13" spans="4:18" ht="15.75" x14ac:dyDescent="0.5">
      <c r="D13" s="3" t="s">
        <v>17</v>
      </c>
      <c r="E13">
        <v>16500</v>
      </c>
      <c r="G13">
        <v>7280</v>
      </c>
      <c r="I13" s="5"/>
      <c r="J13" s="5"/>
      <c r="K13" s="6"/>
      <c r="L13" s="6"/>
      <c r="N13" s="18"/>
      <c r="O13" s="17"/>
      <c r="P13" s="17"/>
      <c r="Q13" s="18"/>
      <c r="R13" s="18"/>
    </row>
    <row r="14" spans="4:18" ht="15.75" x14ac:dyDescent="0.5">
      <c r="D14" t="s">
        <v>18</v>
      </c>
      <c r="I14" s="5">
        <v>138280</v>
      </c>
      <c r="J14" s="5">
        <v>498875</v>
      </c>
      <c r="K14" s="6">
        <f t="shared" ref="K14:K70" si="1">+(I14-J14)/J14</f>
        <v>-0.72281633675770485</v>
      </c>
      <c r="L14" s="6">
        <f t="shared" si="0"/>
        <v>4.6354696564127405E-2</v>
      </c>
      <c r="M14">
        <v>6</v>
      </c>
      <c r="N14" s="24" t="s">
        <v>136</v>
      </c>
      <c r="O14" s="17">
        <f>+I102/I108</f>
        <v>0.85308959097427584</v>
      </c>
      <c r="P14" s="17" t="s">
        <v>141</v>
      </c>
      <c r="Q14" s="18"/>
      <c r="R14" s="18"/>
    </row>
    <row r="15" spans="4:18" ht="15.75" x14ac:dyDescent="0.5">
      <c r="D15" t="s">
        <v>19</v>
      </c>
      <c r="I15" s="5"/>
      <c r="J15" s="5">
        <v>132945</v>
      </c>
      <c r="K15" s="6">
        <f t="shared" si="1"/>
        <v>-1</v>
      </c>
      <c r="L15" s="6">
        <f t="shared" si="0"/>
        <v>0</v>
      </c>
      <c r="N15" s="18"/>
      <c r="O15" s="18"/>
      <c r="P15" s="18"/>
      <c r="Q15" s="18"/>
      <c r="R15" s="18"/>
    </row>
    <row r="16" spans="4:18" ht="15.75" x14ac:dyDescent="0.5">
      <c r="D16" t="s">
        <v>20</v>
      </c>
      <c r="I16" s="5">
        <v>-40000</v>
      </c>
      <c r="J16" s="5">
        <v>-20000</v>
      </c>
      <c r="K16" s="6">
        <f t="shared" si="1"/>
        <v>1</v>
      </c>
      <c r="L16" s="6">
        <f t="shared" si="0"/>
        <v>-1.3408937391995199E-2</v>
      </c>
      <c r="M16">
        <v>7</v>
      </c>
      <c r="N16" s="24" t="s">
        <v>21</v>
      </c>
      <c r="O16" s="18"/>
      <c r="P16" s="18"/>
      <c r="Q16" s="18"/>
      <c r="R16" s="18"/>
    </row>
    <row r="17" spans="4:18" ht="15.75" x14ac:dyDescent="0.5">
      <c r="I17" s="5">
        <f>SUM(I14:I16)</f>
        <v>98280</v>
      </c>
      <c r="J17" s="5">
        <f>SUM(J14:J16)</f>
        <v>611820</v>
      </c>
      <c r="K17" s="6">
        <f t="shared" si="1"/>
        <v>-0.83936451897616948</v>
      </c>
      <c r="L17" s="6">
        <f t="shared" si="0"/>
        <v>3.2945759172132202E-2</v>
      </c>
      <c r="N17" s="16" t="s">
        <v>22</v>
      </c>
      <c r="O17" s="17">
        <f>+I116/I114</f>
        <v>0.43386366434561346</v>
      </c>
      <c r="P17" s="17"/>
      <c r="Q17" s="18"/>
      <c r="R17" s="18"/>
    </row>
    <row r="18" spans="4:18" ht="15.75" x14ac:dyDescent="0.5">
      <c r="D18" s="15" t="s">
        <v>23</v>
      </c>
      <c r="I18" s="5"/>
      <c r="J18" s="5"/>
      <c r="K18" s="6"/>
      <c r="L18" s="6"/>
      <c r="N18" s="16" t="s">
        <v>24</v>
      </c>
      <c r="O18" s="17">
        <f>+I126/I114</f>
        <v>0.13256614697571484</v>
      </c>
      <c r="P18" s="17"/>
      <c r="Q18" s="18"/>
      <c r="R18" s="18"/>
    </row>
    <row r="19" spans="4:18" ht="15.75" x14ac:dyDescent="0.5">
      <c r="D19" s="4" t="s">
        <v>25</v>
      </c>
      <c r="I19" s="5">
        <v>18657</v>
      </c>
      <c r="J19" s="5">
        <v>39256</v>
      </c>
      <c r="K19" s="6">
        <f t="shared" si="1"/>
        <v>-0.52473507234562866</v>
      </c>
      <c r="L19" s="6">
        <f t="shared" si="0"/>
        <v>6.2542636230613607E-3</v>
      </c>
      <c r="N19" s="18"/>
      <c r="O19" s="18"/>
      <c r="P19" s="18"/>
      <c r="Q19" s="18"/>
      <c r="R19" s="18"/>
    </row>
    <row r="20" spans="4:18" ht="15.75" x14ac:dyDescent="0.5">
      <c r="D20" s="4" t="s">
        <v>26</v>
      </c>
      <c r="I20" s="5">
        <v>63774</v>
      </c>
      <c r="J20" s="5">
        <v>44758</v>
      </c>
      <c r="K20" s="6">
        <f t="shared" si="1"/>
        <v>0.42486259439653246</v>
      </c>
      <c r="L20" s="6">
        <f t="shared" si="0"/>
        <v>2.1378539330927548E-2</v>
      </c>
      <c r="M20">
        <v>8</v>
      </c>
      <c r="N20" s="24" t="s">
        <v>27</v>
      </c>
      <c r="O20" s="18"/>
      <c r="P20" s="18"/>
      <c r="Q20" s="18"/>
      <c r="R20" s="18"/>
    </row>
    <row r="21" spans="4:18" ht="15.75" x14ac:dyDescent="0.5">
      <c r="D21" s="4" t="s">
        <v>28</v>
      </c>
      <c r="I21" s="5">
        <v>31455</v>
      </c>
      <c r="J21" s="5">
        <v>39884</v>
      </c>
      <c r="K21" s="6">
        <f t="shared" si="1"/>
        <v>-0.21133787985156954</v>
      </c>
      <c r="L21" s="6">
        <f t="shared" si="0"/>
        <v>1.0544453141630225E-2</v>
      </c>
      <c r="N21" s="16" t="s">
        <v>29</v>
      </c>
      <c r="O21" s="19">
        <f>+(I54+J54)/2</f>
        <v>3465512.5</v>
      </c>
      <c r="P21" s="18"/>
      <c r="Q21" s="18"/>
      <c r="R21" s="18"/>
    </row>
    <row r="22" spans="4:18" ht="15.75" x14ac:dyDescent="0.5">
      <c r="D22" s="4" t="s">
        <v>30</v>
      </c>
      <c r="I22" s="5">
        <v>56444</v>
      </c>
      <c r="J22" s="5">
        <v>72104</v>
      </c>
      <c r="K22" s="6">
        <f t="shared" si="1"/>
        <v>-0.21718628647509153</v>
      </c>
      <c r="L22" s="6">
        <f t="shared" si="0"/>
        <v>1.8921351553844425E-2</v>
      </c>
      <c r="N22" s="16" t="s">
        <v>31</v>
      </c>
      <c r="O22" s="19">
        <f>+I120</f>
        <v>1714415</v>
      </c>
      <c r="P22" s="18"/>
      <c r="Q22" s="18"/>
      <c r="R22" s="18"/>
    </row>
    <row r="23" spans="4:18" ht="15.75" x14ac:dyDescent="0.5">
      <c r="I23" s="5">
        <f>SUM(I19:I22)</f>
        <v>170330</v>
      </c>
      <c r="J23" s="5">
        <f>SUM(J19:J22)</f>
        <v>196002</v>
      </c>
      <c r="K23" s="6">
        <f t="shared" si="1"/>
        <v>-0.13097825532392526</v>
      </c>
      <c r="L23" s="6">
        <f t="shared" si="0"/>
        <v>5.7098607649463562E-2</v>
      </c>
      <c r="N23" s="18"/>
      <c r="O23" s="20">
        <f>+O22/O21</f>
        <v>0.49470749275900749</v>
      </c>
      <c r="P23" s="18"/>
      <c r="Q23" s="18"/>
      <c r="R23" s="18"/>
    </row>
    <row r="24" spans="4:18" ht="15.75" x14ac:dyDescent="0.5">
      <c r="D24" s="3" t="s">
        <v>32</v>
      </c>
      <c r="E24">
        <v>33000</v>
      </c>
      <c r="G24">
        <v>8060</v>
      </c>
      <c r="I24" s="5"/>
      <c r="J24" s="5"/>
      <c r="K24" s="6"/>
      <c r="L24" s="6"/>
      <c r="N24" s="18"/>
      <c r="O24" s="18"/>
      <c r="P24" s="18"/>
      <c r="Q24" s="18"/>
      <c r="R24" s="18"/>
    </row>
    <row r="25" spans="4:18" ht="15.75" x14ac:dyDescent="0.5">
      <c r="D25" t="s">
        <v>33</v>
      </c>
      <c r="I25" s="5">
        <v>773458</v>
      </c>
      <c r="J25" s="5">
        <v>977890</v>
      </c>
      <c r="K25" s="6">
        <f t="shared" si="1"/>
        <v>-0.20905418809886592</v>
      </c>
      <c r="L25" s="6">
        <f t="shared" si="0"/>
        <v>0.25928124743344555</v>
      </c>
      <c r="M25">
        <v>9</v>
      </c>
      <c r="N25" s="25" t="s">
        <v>34</v>
      </c>
      <c r="O25" s="18"/>
      <c r="P25" s="18"/>
      <c r="Q25" s="18"/>
      <c r="R25" s="18"/>
    </row>
    <row r="26" spans="4:18" ht="15.75" x14ac:dyDescent="0.5">
      <c r="D26" t="s">
        <v>35</v>
      </c>
      <c r="I26" s="5">
        <v>106442</v>
      </c>
      <c r="J26" s="5">
        <v>245750</v>
      </c>
      <c r="K26" s="6">
        <f t="shared" si="1"/>
        <v>-0.56686876907426242</v>
      </c>
      <c r="L26" s="6">
        <f t="shared" si="0"/>
        <v>3.5681852846968828E-2</v>
      </c>
      <c r="N26" s="18" t="s">
        <v>36</v>
      </c>
      <c r="O26" s="19">
        <f>+(I108+J108)/2</f>
        <v>1860842.4750000001</v>
      </c>
      <c r="P26" s="18"/>
      <c r="Q26" s="18"/>
      <c r="R26" s="18"/>
    </row>
    <row r="27" spans="4:18" ht="15.75" x14ac:dyDescent="0.5">
      <c r="I27" s="5">
        <f>SUM(I25:I26)</f>
        <v>879900</v>
      </c>
      <c r="J27" s="5">
        <f>SUM(J25:J26)</f>
        <v>1223640</v>
      </c>
      <c r="K27" s="6">
        <f t="shared" si="1"/>
        <v>-0.28091595567323724</v>
      </c>
      <c r="L27" s="6">
        <f t="shared" si="0"/>
        <v>0.29496310028041439</v>
      </c>
      <c r="N27" s="18" t="s">
        <v>37</v>
      </c>
      <c r="O27" s="19">
        <f>+I107</f>
        <v>872140.75000000012</v>
      </c>
      <c r="P27" s="18"/>
      <c r="Q27" s="18"/>
      <c r="R27" s="18"/>
    </row>
    <row r="28" spans="4:18" ht="15.75" x14ac:dyDescent="0.5">
      <c r="I28" s="5"/>
      <c r="J28" s="5"/>
      <c r="K28" s="6"/>
      <c r="L28" s="6"/>
      <c r="N28" s="18"/>
      <c r="O28" s="20">
        <f>+O27/O26</f>
        <v>0.46868059049436739</v>
      </c>
      <c r="P28" s="18"/>
      <c r="Q28" s="18"/>
      <c r="R28" s="18"/>
    </row>
    <row r="29" spans="4:18" ht="15.75" x14ac:dyDescent="0.5">
      <c r="D29" s="3" t="s">
        <v>38</v>
      </c>
      <c r="E29">
        <v>71775</v>
      </c>
      <c r="G29">
        <v>30030</v>
      </c>
      <c r="I29" s="7">
        <f>+I7+I12+I17+I23+I27</f>
        <v>1803495</v>
      </c>
      <c r="J29" s="7">
        <f>+J7+J12+J17+J23+J27</f>
        <v>2490327</v>
      </c>
      <c r="K29" s="6">
        <f>+(I29-J29)/J29</f>
        <v>-0.27579992507008116</v>
      </c>
      <c r="L29" s="6">
        <f t="shared" si="0"/>
        <v>0.60457378854440957</v>
      </c>
      <c r="N29" s="18"/>
      <c r="O29" s="18"/>
      <c r="P29" s="18"/>
      <c r="Q29" s="18"/>
      <c r="R29" s="18"/>
    </row>
    <row r="30" spans="4:18" ht="15.75" x14ac:dyDescent="0.5">
      <c r="K30" s="6"/>
      <c r="L30" s="6"/>
      <c r="M30">
        <v>10</v>
      </c>
      <c r="N30" s="18" t="s">
        <v>36</v>
      </c>
      <c r="O30" s="19">
        <f>+(I108-I107+J108)/2</f>
        <v>1424772.1</v>
      </c>
      <c r="P30" s="18"/>
      <c r="Q30" s="18"/>
      <c r="R30" s="18"/>
    </row>
    <row r="31" spans="4:18" ht="15.75" x14ac:dyDescent="0.5">
      <c r="D31" s="3" t="s">
        <v>39</v>
      </c>
      <c r="K31" s="6"/>
      <c r="L31" s="6"/>
      <c r="N31" s="18" t="s">
        <v>37</v>
      </c>
      <c r="O31" s="19">
        <f>+I126</f>
        <v>872140.75000000012</v>
      </c>
      <c r="P31" s="18"/>
      <c r="Q31" s="18"/>
      <c r="R31" s="18"/>
    </row>
    <row r="32" spans="4:18" ht="15.75" x14ac:dyDescent="0.5">
      <c r="D32" s="3" t="s">
        <v>12</v>
      </c>
      <c r="G32">
        <v>6760</v>
      </c>
      <c r="K32" s="6"/>
      <c r="L32" s="6"/>
      <c r="N32" s="18"/>
      <c r="O32" s="20">
        <f>+O31/O30</f>
        <v>0.61212649377398676</v>
      </c>
      <c r="P32" s="18"/>
      <c r="Q32" s="18"/>
      <c r="R32" s="18"/>
    </row>
    <row r="33" spans="4:18" ht="15.75" x14ac:dyDescent="0.5">
      <c r="D33" t="s">
        <v>40</v>
      </c>
      <c r="I33" s="5">
        <v>91260</v>
      </c>
      <c r="J33" s="5">
        <v>71091</v>
      </c>
      <c r="K33" s="6">
        <f t="shared" si="1"/>
        <v>0.28370679832890239</v>
      </c>
      <c r="L33" s="6">
        <f t="shared" si="0"/>
        <v>3.059249065983705E-2</v>
      </c>
      <c r="N33" s="18"/>
      <c r="O33" s="18"/>
      <c r="P33" s="18"/>
      <c r="Q33" s="18"/>
      <c r="R33" s="18"/>
    </row>
    <row r="34" spans="4:18" ht="15.75" x14ac:dyDescent="0.5">
      <c r="I34" s="5"/>
      <c r="J34" s="5"/>
      <c r="K34" s="6"/>
      <c r="L34" s="6"/>
      <c r="M34">
        <v>11</v>
      </c>
      <c r="N34" s="25" t="s">
        <v>41</v>
      </c>
      <c r="O34" s="18"/>
      <c r="P34" s="18"/>
      <c r="Q34" s="18"/>
      <c r="R34" s="18"/>
    </row>
    <row r="35" spans="4:18" ht="15.75" x14ac:dyDescent="0.5">
      <c r="I35" s="5"/>
      <c r="J35" s="5"/>
      <c r="K35" s="6"/>
      <c r="L35" s="6"/>
      <c r="N35" s="18" t="str">
        <f>+N20</f>
        <v>Rent Op</v>
      </c>
      <c r="O35" s="20">
        <f>+O23</f>
        <v>0.49470749275900749</v>
      </c>
      <c r="P35" s="18"/>
      <c r="Q35" s="18"/>
      <c r="R35" s="18"/>
    </row>
    <row r="36" spans="4:18" ht="15.75" x14ac:dyDescent="0.5">
      <c r="D36" s="3" t="s">
        <v>17</v>
      </c>
      <c r="E36">
        <v>16500</v>
      </c>
      <c r="G36">
        <v>7280</v>
      </c>
      <c r="I36" s="5"/>
      <c r="J36" s="5"/>
      <c r="K36" s="6"/>
      <c r="L36" s="6"/>
      <c r="N36" s="18" t="s">
        <v>42</v>
      </c>
      <c r="O36" s="18"/>
      <c r="P36" s="18"/>
      <c r="Q36" s="18"/>
      <c r="R36" s="18"/>
    </row>
    <row r="37" spans="4:18" ht="15.75" x14ac:dyDescent="0.5">
      <c r="D37" t="s">
        <v>18</v>
      </c>
      <c r="I37" s="5">
        <v>237889</v>
      </c>
      <c r="J37" s="5">
        <v>199745</v>
      </c>
      <c r="K37" s="6">
        <f t="shared" si="1"/>
        <v>0.19096347843500464</v>
      </c>
      <c r="L37" s="6">
        <f t="shared" si="0"/>
        <v>7.9745967681108657E-2</v>
      </c>
      <c r="N37" s="18" t="s">
        <v>43</v>
      </c>
      <c r="O37" s="19">
        <f>+(I59+I60+J60+J59+I63+J63+I67+I68+I69+J67+J68+J69+I75+J75+I80+J80+I88+J88+I87+J87+I89+J89+I90+J90+I93+J93+I96+I97+I98+J96+J97+J98)/2</f>
        <v>1817162</v>
      </c>
      <c r="P37" s="18"/>
      <c r="Q37" s="18"/>
      <c r="R37" s="18"/>
    </row>
    <row r="38" spans="4:18" ht="15.75" x14ac:dyDescent="0.5">
      <c r="D38" t="s">
        <v>44</v>
      </c>
      <c r="I38" s="5">
        <v>218781</v>
      </c>
      <c r="J38" s="5">
        <v>98137</v>
      </c>
      <c r="K38" s="6">
        <f t="shared" si="1"/>
        <v>1.2293426536372623</v>
      </c>
      <c r="L38" s="6">
        <f t="shared" si="0"/>
        <v>7.334051828895255E-2</v>
      </c>
      <c r="N38" s="18" t="s">
        <v>45</v>
      </c>
      <c r="O38" s="19">
        <f>-I121</f>
        <v>342210</v>
      </c>
      <c r="P38" s="18"/>
      <c r="Q38" s="18"/>
      <c r="R38" s="18"/>
    </row>
    <row r="39" spans="4:18" ht="15.75" x14ac:dyDescent="0.5">
      <c r="I39" s="5">
        <f>SUM(I37:I38)</f>
        <v>456670</v>
      </c>
      <c r="J39" s="5">
        <f>SUM(J37:J38)</f>
        <v>297882</v>
      </c>
      <c r="K39" s="6">
        <f t="shared" si="1"/>
        <v>0.53305671373228325</v>
      </c>
      <c r="L39" s="6">
        <f t="shared" si="0"/>
        <v>0.15308648597006119</v>
      </c>
      <c r="N39" s="18"/>
      <c r="O39" s="20">
        <f>+O38/O37</f>
        <v>0.18832112932143638</v>
      </c>
      <c r="P39" s="18"/>
      <c r="Q39" s="18"/>
      <c r="R39" s="18"/>
    </row>
    <row r="40" spans="4:18" ht="15.75" x14ac:dyDescent="0.5">
      <c r="D40" s="3" t="s">
        <v>32</v>
      </c>
      <c r="E40">
        <v>33000</v>
      </c>
      <c r="G40">
        <v>8060</v>
      </c>
      <c r="K40" s="6"/>
      <c r="L40" s="6"/>
      <c r="N40" s="18"/>
      <c r="O40" s="18"/>
      <c r="P40" s="18"/>
      <c r="Q40" s="18"/>
      <c r="R40" s="18"/>
    </row>
    <row r="41" spans="4:18" ht="15.75" x14ac:dyDescent="0.5">
      <c r="D41" t="s">
        <v>35</v>
      </c>
      <c r="I41" s="5">
        <v>245560</v>
      </c>
      <c r="J41" s="5">
        <v>170910</v>
      </c>
      <c r="K41" s="6">
        <f t="shared" si="1"/>
        <v>0.43677959159791702</v>
      </c>
      <c r="L41" s="6">
        <f t="shared" si="0"/>
        <v>8.2317466649458534E-2</v>
      </c>
      <c r="M41">
        <v>12</v>
      </c>
      <c r="N41" s="18" t="str">
        <f>+N14</f>
        <v>Endeudamiento c/ fondos propios</v>
      </c>
      <c r="O41" s="17">
        <f>+O14</f>
        <v>0.85308959097427584</v>
      </c>
      <c r="P41" s="18"/>
      <c r="Q41" s="18"/>
      <c r="R41" s="18"/>
    </row>
    <row r="42" spans="4:18" ht="15.75" x14ac:dyDescent="0.5">
      <c r="I42" s="5"/>
      <c r="J42" s="5"/>
      <c r="K42" s="6"/>
      <c r="L42" s="6"/>
      <c r="N42" s="18"/>
      <c r="O42" s="18"/>
      <c r="P42" s="18"/>
      <c r="Q42" s="18"/>
      <c r="R42" s="18"/>
    </row>
    <row r="43" spans="4:18" ht="15.75" x14ac:dyDescent="0.5">
      <c r="D43" s="3" t="s">
        <v>46</v>
      </c>
      <c r="E43">
        <v>24750</v>
      </c>
      <c r="G43">
        <v>28600</v>
      </c>
      <c r="I43" s="5"/>
      <c r="J43" s="5"/>
      <c r="K43" s="6"/>
      <c r="L43" s="6"/>
      <c r="M43">
        <v>13</v>
      </c>
      <c r="N43" s="18" t="s">
        <v>47</v>
      </c>
      <c r="O43" s="21">
        <f>-I125/I124</f>
        <v>0.35</v>
      </c>
      <c r="P43" s="18"/>
      <c r="Q43" s="18"/>
      <c r="R43" s="18"/>
    </row>
    <row r="44" spans="4:18" ht="15.75" x14ac:dyDescent="0.5">
      <c r="D44" t="s">
        <v>48</v>
      </c>
      <c r="I44" s="5">
        <v>120000</v>
      </c>
      <c r="J44" s="5">
        <v>360000</v>
      </c>
      <c r="K44" s="6">
        <f t="shared" si="1"/>
        <v>-0.66666666666666663</v>
      </c>
      <c r="L44" s="6">
        <f t="shared" si="0"/>
        <v>4.0226812175985602E-2</v>
      </c>
      <c r="N44" s="18"/>
      <c r="O44" s="18"/>
      <c r="P44" s="18"/>
      <c r="Q44" s="18"/>
      <c r="R44" s="18"/>
    </row>
    <row r="45" spans="4:18" ht="15.75" x14ac:dyDescent="0.5">
      <c r="D45" t="s">
        <v>49</v>
      </c>
      <c r="I45" s="5">
        <v>-45600</v>
      </c>
      <c r="J45" s="5">
        <v>-144000</v>
      </c>
      <c r="K45" s="6">
        <f t="shared" si="1"/>
        <v>-0.68333333333333335</v>
      </c>
      <c r="L45" s="6">
        <f t="shared" si="0"/>
        <v>-1.5286188626874527E-2</v>
      </c>
      <c r="N45" s="18"/>
      <c r="O45" s="18"/>
      <c r="P45" s="18"/>
      <c r="Q45" s="18"/>
      <c r="R45" s="18"/>
    </row>
    <row r="46" spans="4:18" ht="15.75" x14ac:dyDescent="0.5">
      <c r="D46" t="s">
        <v>50</v>
      </c>
      <c r="I46" s="5">
        <v>197775</v>
      </c>
      <c r="J46" s="5">
        <v>248750</v>
      </c>
      <c r="K46" s="6">
        <f t="shared" si="1"/>
        <v>-0.20492462311557788</v>
      </c>
      <c r="L46" s="6">
        <f t="shared" si="0"/>
        <v>6.6298814817546264E-2</v>
      </c>
      <c r="M46">
        <v>14</v>
      </c>
      <c r="N46" s="25" t="s">
        <v>41</v>
      </c>
      <c r="O46" s="18"/>
      <c r="P46" s="18"/>
      <c r="Q46" s="18"/>
      <c r="R46" s="18"/>
    </row>
    <row r="47" spans="4:18" ht="15.75" x14ac:dyDescent="0.5">
      <c r="D47" t="s">
        <v>51</v>
      </c>
      <c r="I47" s="5">
        <v>-39555</v>
      </c>
      <c r="J47" s="5">
        <v>-49750</v>
      </c>
      <c r="K47" s="6">
        <f t="shared" si="1"/>
        <v>-0.20492462311557788</v>
      </c>
      <c r="L47" s="6">
        <f t="shared" si="0"/>
        <v>-1.3259762963509253E-2</v>
      </c>
      <c r="N47" s="18" t="s">
        <v>52</v>
      </c>
      <c r="O47" s="18">
        <f>+O35+(O35-O39)*O41</f>
        <v>0.75608251022406081</v>
      </c>
      <c r="P47" s="18" t="s">
        <v>142</v>
      </c>
      <c r="Q47" s="18"/>
      <c r="R47" s="18"/>
    </row>
    <row r="48" spans="4:18" ht="15.75" x14ac:dyDescent="0.5">
      <c r="D48" t="s">
        <v>53</v>
      </c>
      <c r="I48" s="5">
        <v>0</v>
      </c>
      <c r="J48" s="5">
        <v>233620</v>
      </c>
      <c r="K48" s="6">
        <f>+(I48-J48)/J48</f>
        <v>-1</v>
      </c>
      <c r="L48" s="6">
        <f t="shared" si="0"/>
        <v>0</v>
      </c>
      <c r="N48" s="18" t="s">
        <v>54</v>
      </c>
      <c r="O48" s="18">
        <f>+O47*(1-O43)</f>
        <v>0.49145363164563954</v>
      </c>
      <c r="P48" s="18" t="s">
        <v>143</v>
      </c>
      <c r="Q48" s="18"/>
      <c r="R48" s="18"/>
    </row>
    <row r="49" spans="1:18" ht="15.75" x14ac:dyDescent="0.5">
      <c r="D49" t="s">
        <v>55</v>
      </c>
      <c r="I49" s="5">
        <v>180564.70588235295</v>
      </c>
      <c r="J49" s="5">
        <v>316600</v>
      </c>
      <c r="K49" s="6">
        <f t="shared" si="1"/>
        <v>-0.42967559733937793</v>
      </c>
      <c r="L49" s="6">
        <f t="shared" si="0"/>
        <v>6.0529520909512455E-2</v>
      </c>
      <c r="N49" s="18"/>
      <c r="O49" s="18"/>
      <c r="P49" s="18"/>
      <c r="Q49" s="18"/>
      <c r="R49" s="18"/>
    </row>
    <row r="50" spans="1:18" ht="15.75" x14ac:dyDescent="0.5">
      <c r="D50" t="s">
        <v>56</v>
      </c>
      <c r="I50" s="5">
        <v>-27084.705882352941</v>
      </c>
      <c r="J50" s="5">
        <v>-47490</v>
      </c>
      <c r="K50" s="6">
        <f t="shared" si="1"/>
        <v>-0.42967559733937799</v>
      </c>
      <c r="L50" s="6">
        <f t="shared" si="0"/>
        <v>-9.0794281364268668E-3</v>
      </c>
      <c r="N50" s="18"/>
      <c r="O50" s="18"/>
      <c r="P50" s="18"/>
      <c r="Q50" s="18"/>
      <c r="R50" s="18"/>
    </row>
    <row r="51" spans="1:18" ht="15.75" x14ac:dyDescent="0.5">
      <c r="I51" s="5">
        <f>SUM(I44:I50)</f>
        <v>386100</v>
      </c>
      <c r="J51" s="5">
        <f>SUM(J44:J50)</f>
        <v>917730</v>
      </c>
      <c r="K51" s="6">
        <f t="shared" si="1"/>
        <v>-0.57928802588996764</v>
      </c>
      <c r="L51" s="6">
        <f t="shared" si="0"/>
        <v>0.12942976817623367</v>
      </c>
      <c r="M51">
        <v>15</v>
      </c>
      <c r="N51" s="25" t="s">
        <v>57</v>
      </c>
      <c r="O51" s="18"/>
      <c r="P51" s="18"/>
      <c r="Q51" s="18"/>
      <c r="R51" s="18"/>
    </row>
    <row r="52" spans="1:18" ht="15.75" x14ac:dyDescent="0.5">
      <c r="D52" s="3" t="s">
        <v>58</v>
      </c>
      <c r="E52">
        <v>24750</v>
      </c>
      <c r="G52">
        <v>35360</v>
      </c>
      <c r="I52" s="7">
        <f>+I33+I39+I41+I51</f>
        <v>1179590</v>
      </c>
      <c r="J52" s="7">
        <f>+J33+J39+J41+J51</f>
        <v>1457613</v>
      </c>
      <c r="K52" s="6">
        <f t="shared" si="1"/>
        <v>-0.19073855680485835</v>
      </c>
      <c r="L52" s="6">
        <f t="shared" si="0"/>
        <v>0.39542621145559043</v>
      </c>
      <c r="N52" s="18" t="str">
        <f>+N30</f>
        <v>PN</v>
      </c>
      <c r="O52" s="19">
        <f>+O30</f>
        <v>1424772.1</v>
      </c>
      <c r="P52" s="18"/>
      <c r="Q52" s="18"/>
      <c r="R52" s="18"/>
    </row>
    <row r="53" spans="1:18" ht="15.75" x14ac:dyDescent="0.5">
      <c r="K53" s="6"/>
      <c r="L53" s="6"/>
      <c r="N53" s="18" t="str">
        <f>+N31</f>
        <v>Resultado del ejercicio</v>
      </c>
      <c r="O53" s="19">
        <f>+O31</f>
        <v>872140.75000000012</v>
      </c>
      <c r="P53" s="18"/>
      <c r="Q53" s="18"/>
      <c r="R53" s="18"/>
    </row>
    <row r="54" spans="1:18" ht="15.75" x14ac:dyDescent="0.5">
      <c r="D54" s="9" t="s">
        <v>59</v>
      </c>
      <c r="E54" s="9">
        <v>96525</v>
      </c>
      <c r="F54" s="9"/>
      <c r="G54" s="9">
        <v>65390</v>
      </c>
      <c r="H54" s="9"/>
      <c r="I54" s="10">
        <f>+I52+I29</f>
        <v>2983085</v>
      </c>
      <c r="J54" s="10">
        <f>+J52+J29</f>
        <v>3947940</v>
      </c>
      <c r="K54" s="6">
        <f t="shared" si="1"/>
        <v>-0.24439454500321686</v>
      </c>
      <c r="L54" s="30">
        <f t="shared" si="0"/>
        <v>1</v>
      </c>
      <c r="N54" s="18" t="s">
        <v>60</v>
      </c>
      <c r="O54" s="19">
        <f>+I123</f>
        <v>-30450</v>
      </c>
      <c r="P54" s="18"/>
      <c r="Q54" s="18"/>
      <c r="R54" s="18"/>
    </row>
    <row r="55" spans="1:18" ht="15.75" x14ac:dyDescent="0.5">
      <c r="K55" s="6"/>
      <c r="N55" s="18"/>
      <c r="O55" s="20">
        <f>+(O53-O54)/O52</f>
        <v>0.6334983328210877</v>
      </c>
      <c r="P55" s="18" t="s">
        <v>144</v>
      </c>
      <c r="Q55" s="18"/>
      <c r="R55" s="18"/>
    </row>
    <row r="56" spans="1:18" ht="15.75" x14ac:dyDescent="0.5">
      <c r="D56" s="9" t="s">
        <v>61</v>
      </c>
      <c r="K56" s="6"/>
      <c r="N56" s="18"/>
      <c r="O56" s="18"/>
      <c r="P56" s="18"/>
      <c r="Q56" s="18"/>
      <c r="R56" s="18"/>
    </row>
    <row r="57" spans="1:18" ht="15.75" x14ac:dyDescent="0.5">
      <c r="D57" s="3" t="s">
        <v>62</v>
      </c>
      <c r="K57" s="6"/>
      <c r="N57" s="18"/>
      <c r="O57" s="20"/>
      <c r="P57" s="18"/>
      <c r="Q57" s="18"/>
      <c r="R57" s="18"/>
    </row>
    <row r="58" spans="1:18" ht="15.75" x14ac:dyDescent="0.5">
      <c r="D58" t="s">
        <v>63</v>
      </c>
      <c r="E58">
        <v>37125</v>
      </c>
      <c r="G58">
        <v>27300</v>
      </c>
      <c r="K58" s="6"/>
      <c r="N58" s="18"/>
      <c r="O58" s="18"/>
      <c r="P58" s="18"/>
      <c r="Q58" s="18"/>
      <c r="R58" s="18"/>
    </row>
    <row r="59" spans="1:18" ht="15.75" x14ac:dyDescent="0.5">
      <c r="D59" s="5" t="s">
        <v>64</v>
      </c>
      <c r="I59" s="5">
        <v>300324</v>
      </c>
      <c r="J59" s="5">
        <v>1108832</v>
      </c>
      <c r="K59" s="6">
        <f>+(I59-J59)/J59</f>
        <v>-0.7291528383019249</v>
      </c>
      <c r="L59" s="6">
        <f>+I59/$I$110</f>
        <v>0.10067564283283915</v>
      </c>
      <c r="M59">
        <v>16</v>
      </c>
      <c r="N59" s="26" t="s">
        <v>65</v>
      </c>
      <c r="O59" s="18" t="s">
        <v>66</v>
      </c>
      <c r="P59" s="18"/>
      <c r="Q59" s="18"/>
      <c r="R59" s="18"/>
    </row>
    <row r="60" spans="1:18" ht="15.75" x14ac:dyDescent="0.5">
      <c r="A60" t="s">
        <v>137</v>
      </c>
      <c r="D60" s="5" t="s">
        <v>67</v>
      </c>
      <c r="I60" s="5">
        <v>68863</v>
      </c>
      <c r="J60" s="5">
        <v>155364</v>
      </c>
      <c r="K60" s="6">
        <f>+(I60-J60)/J60</f>
        <v>-0.55676347158929995</v>
      </c>
      <c r="L60" s="6">
        <f t="shared" ref="L60:L64" si="2">+I60/$I$110</f>
        <v>2.3084491390624136E-2</v>
      </c>
      <c r="N60" s="18"/>
      <c r="O60" s="18"/>
      <c r="P60" s="18"/>
      <c r="Q60" s="18"/>
      <c r="R60" s="18"/>
    </row>
    <row r="61" spans="1:18" ht="15.75" x14ac:dyDescent="0.5">
      <c r="D61" s="5" t="s">
        <v>68</v>
      </c>
      <c r="I61" s="8">
        <v>295275.05</v>
      </c>
      <c r="J61" s="5">
        <v>12800</v>
      </c>
      <c r="K61" s="6">
        <f>+(I61-J61)/J61</f>
        <v>22.068363281250001</v>
      </c>
      <c r="L61" s="6">
        <f t="shared" si="2"/>
        <v>9.8983116471706295E-2</v>
      </c>
      <c r="N61" s="25" t="s">
        <v>69</v>
      </c>
      <c r="O61" s="18" t="s">
        <v>70</v>
      </c>
      <c r="P61" s="18"/>
      <c r="Q61" s="18"/>
      <c r="R61" s="18"/>
    </row>
    <row r="62" spans="1:18" ht="15.75" x14ac:dyDescent="0.5">
      <c r="D62" s="5" t="s">
        <v>71</v>
      </c>
      <c r="I62" s="5">
        <v>11700</v>
      </c>
      <c r="J62" s="5">
        <v>115478</v>
      </c>
      <c r="K62" s="6">
        <f>+(I62-J62)/J62</f>
        <v>-0.89868200003463861</v>
      </c>
      <c r="L62" s="6">
        <f t="shared" si="2"/>
        <v>3.9221141871585959E-3</v>
      </c>
      <c r="N62" s="18"/>
      <c r="O62" s="18"/>
      <c r="P62" s="18" t="s">
        <v>72</v>
      </c>
      <c r="Q62" s="18"/>
      <c r="R62" s="18"/>
    </row>
    <row r="63" spans="1:18" ht="15.75" x14ac:dyDescent="0.5">
      <c r="D63" s="5" t="s">
        <v>73</v>
      </c>
      <c r="I63" s="5">
        <v>-12337</v>
      </c>
      <c r="J63" s="5">
        <v>-15879</v>
      </c>
      <c r="K63" s="6"/>
      <c r="L63" s="6">
        <f t="shared" si="2"/>
        <v>-4.1356515151261194E-3</v>
      </c>
      <c r="N63" s="18"/>
      <c r="O63" s="18"/>
      <c r="P63" s="18"/>
      <c r="Q63" s="18"/>
      <c r="R63" s="18"/>
    </row>
    <row r="64" spans="1:18" ht="15.75" x14ac:dyDescent="0.5">
      <c r="D64" s="5"/>
      <c r="I64" s="5">
        <f>SUM(I59:I63)</f>
        <v>663825.05000000005</v>
      </c>
      <c r="J64" s="5">
        <f>SUM(J59:J63)</f>
        <v>1376595</v>
      </c>
      <c r="K64" s="6"/>
      <c r="L64" s="6">
        <f t="shared" si="2"/>
        <v>0.22252971336720209</v>
      </c>
      <c r="N64" s="18" t="s">
        <v>74</v>
      </c>
      <c r="O64" s="18"/>
      <c r="P64" s="19">
        <f>+J25</f>
        <v>977890</v>
      </c>
      <c r="Q64" s="18"/>
      <c r="R64" s="18"/>
    </row>
    <row r="65" spans="4:18" ht="15.75" x14ac:dyDescent="0.5">
      <c r="D65" s="5"/>
      <c r="I65" s="5"/>
      <c r="J65" s="5"/>
      <c r="K65" s="6"/>
      <c r="L65" s="6"/>
      <c r="N65" s="18" t="s">
        <v>75</v>
      </c>
      <c r="O65" s="18"/>
      <c r="P65" s="19">
        <f>+I25</f>
        <v>773458</v>
      </c>
      <c r="Q65" s="18"/>
      <c r="R65" s="18"/>
    </row>
    <row r="66" spans="4:18" ht="15.75" x14ac:dyDescent="0.5">
      <c r="D66" t="s">
        <v>76</v>
      </c>
      <c r="E66">
        <v>4800</v>
      </c>
      <c r="G66">
        <v>15600</v>
      </c>
      <c r="I66" s="5"/>
      <c r="J66" s="5"/>
      <c r="K66" s="6"/>
      <c r="L66" s="6"/>
      <c r="N66" s="18" t="s">
        <v>77</v>
      </c>
      <c r="O66" s="18"/>
      <c r="P66" s="19">
        <f>+(P64+P65)/2</f>
        <v>875674</v>
      </c>
      <c r="Q66" s="18"/>
      <c r="R66" s="18"/>
    </row>
    <row r="67" spans="4:18" ht="15.75" x14ac:dyDescent="0.5">
      <c r="D67" t="s">
        <v>78</v>
      </c>
      <c r="I67" s="5">
        <v>178850</v>
      </c>
      <c r="J67" s="5">
        <v>89425</v>
      </c>
      <c r="K67" s="6">
        <f t="shared" si="1"/>
        <v>1</v>
      </c>
      <c r="L67" s="6">
        <f t="shared" ref="L67:L110" si="3">+I67/$I$110</f>
        <v>5.9954711313958534E-2</v>
      </c>
      <c r="N67" s="18"/>
      <c r="O67" s="18"/>
      <c r="P67" s="18"/>
      <c r="Q67" s="18"/>
      <c r="R67" s="18"/>
    </row>
    <row r="68" spans="4:18" ht="15.75" x14ac:dyDescent="0.5">
      <c r="D68" t="s">
        <v>79</v>
      </c>
      <c r="I68" s="5">
        <v>43539</v>
      </c>
      <c r="J68" s="5">
        <v>111016</v>
      </c>
      <c r="K68" s="6">
        <f t="shared" si="1"/>
        <v>-0.6078132881746775</v>
      </c>
      <c r="L68" s="6">
        <f t="shared" si="3"/>
        <v>1.4595293127751974E-2</v>
      </c>
      <c r="N68" s="25" t="s">
        <v>72</v>
      </c>
      <c r="O68" s="18"/>
      <c r="P68" s="19">
        <f>+I115</f>
        <v>3724560</v>
      </c>
      <c r="Q68" s="18"/>
      <c r="R68" s="18"/>
    </row>
    <row r="69" spans="4:18" ht="15.75" x14ac:dyDescent="0.5">
      <c r="D69" s="5" t="s">
        <v>73</v>
      </c>
      <c r="I69" s="5">
        <v>-11789</v>
      </c>
      <c r="J69" s="5">
        <v>-22457</v>
      </c>
      <c r="K69" s="6">
        <f t="shared" si="1"/>
        <v>-0.47504118982945182</v>
      </c>
      <c r="L69" s="6">
        <f t="shared" si="3"/>
        <v>-3.9519490728557854E-3</v>
      </c>
      <c r="N69" s="18"/>
      <c r="O69" s="18"/>
      <c r="P69" s="18"/>
      <c r="Q69" s="18"/>
      <c r="R69" s="18"/>
    </row>
    <row r="70" spans="4:18" ht="15.75" x14ac:dyDescent="0.5">
      <c r="I70" s="5">
        <f>SUM(I67:I69)</f>
        <v>210600</v>
      </c>
      <c r="J70" s="5">
        <f>SUM(J67:J69)</f>
        <v>177984</v>
      </c>
      <c r="K70" s="6">
        <f t="shared" si="1"/>
        <v>0.18325242718446602</v>
      </c>
      <c r="L70" s="6">
        <f t="shared" si="3"/>
        <v>7.0598055368854731E-2</v>
      </c>
      <c r="M70">
        <v>17</v>
      </c>
      <c r="N70" s="25" t="s">
        <v>80</v>
      </c>
      <c r="O70" s="18"/>
      <c r="P70" s="17">
        <f>365*(P66/P68)</f>
        <v>85.814434456687493</v>
      </c>
      <c r="Q70" s="22">
        <v>86</v>
      </c>
      <c r="R70" s="23" t="s">
        <v>81</v>
      </c>
    </row>
    <row r="71" spans="4:18" ht="15.75" x14ac:dyDescent="0.5">
      <c r="I71" s="5"/>
      <c r="J71" s="5"/>
      <c r="K71" s="6"/>
      <c r="L71" s="6"/>
      <c r="N71" s="18"/>
      <c r="O71" s="18"/>
      <c r="P71" s="18"/>
      <c r="Q71" s="18"/>
      <c r="R71" s="18"/>
    </row>
    <row r="72" spans="4:18" ht="15.75" x14ac:dyDescent="0.5">
      <c r="D72" s="4" t="s">
        <v>82</v>
      </c>
      <c r="I72" s="5"/>
      <c r="J72" s="5"/>
      <c r="K72" s="6"/>
      <c r="L72" s="6"/>
      <c r="N72" s="18"/>
      <c r="O72" s="18"/>
      <c r="P72" s="18"/>
      <c r="Q72" s="18"/>
      <c r="R72" s="18"/>
    </row>
    <row r="73" spans="4:18" ht="15.75" x14ac:dyDescent="0.5">
      <c r="D73" s="4" t="s">
        <v>83</v>
      </c>
      <c r="I73" s="5">
        <v>44216</v>
      </c>
      <c r="J73" s="5">
        <v>65879</v>
      </c>
      <c r="K73" s="6">
        <f t="shared" ref="K73:K126" si="4">+(I73-J73)/J73</f>
        <v>-0.3288301279618695</v>
      </c>
      <c r="L73" s="6">
        <f t="shared" si="3"/>
        <v>1.4822239393111494E-2</v>
      </c>
      <c r="M73">
        <v>18</v>
      </c>
      <c r="N73" s="24" t="s">
        <v>84</v>
      </c>
      <c r="O73" s="18"/>
      <c r="P73" s="18"/>
      <c r="Q73" s="18"/>
      <c r="R73" s="18"/>
    </row>
    <row r="74" spans="4:18" ht="15.75" x14ac:dyDescent="0.5">
      <c r="D74" s="4" t="s">
        <v>85</v>
      </c>
      <c r="I74" s="5">
        <v>95365</v>
      </c>
      <c r="J74" s="5"/>
      <c r="K74" s="6"/>
      <c r="L74" s="6">
        <f t="shared" si="3"/>
        <v>3.1968582859690557E-2</v>
      </c>
      <c r="N74" s="18"/>
      <c r="O74" s="18"/>
      <c r="P74" s="18"/>
      <c r="Q74" s="18"/>
      <c r="R74" s="18"/>
    </row>
    <row r="75" spans="4:18" ht="15.75" x14ac:dyDescent="0.5">
      <c r="D75" s="5" t="s">
        <v>86</v>
      </c>
      <c r="I75" s="5">
        <v>28199</v>
      </c>
      <c r="J75" s="5">
        <v>13285</v>
      </c>
      <c r="K75" s="6">
        <f t="shared" si="4"/>
        <v>1.1226194956718103</v>
      </c>
      <c r="L75" s="6">
        <f t="shared" si="3"/>
        <v>9.452965637921815E-3</v>
      </c>
      <c r="N75" s="16" t="s">
        <v>87</v>
      </c>
      <c r="O75" s="18"/>
      <c r="P75" s="21">
        <f>+J14+J16</f>
        <v>478875</v>
      </c>
      <c r="Q75" s="18"/>
      <c r="R75" s="18"/>
    </row>
    <row r="76" spans="4:18" ht="15.75" x14ac:dyDescent="0.5">
      <c r="D76" s="4"/>
      <c r="I76" s="5">
        <f>SUM(I73:I75)</f>
        <v>167780</v>
      </c>
      <c r="J76" s="5">
        <f>SUM(J73:J75)</f>
        <v>79164</v>
      </c>
      <c r="K76" s="6">
        <f t="shared" si="4"/>
        <v>1.1193977060279925</v>
      </c>
      <c r="L76" s="6">
        <f t="shared" si="3"/>
        <v>5.6243787890723866E-2</v>
      </c>
      <c r="N76" s="16" t="s">
        <v>88</v>
      </c>
      <c r="O76" s="18"/>
      <c r="P76" s="21">
        <f>+I14+I16</f>
        <v>98280</v>
      </c>
      <c r="Q76" s="18"/>
      <c r="R76" s="18"/>
    </row>
    <row r="77" spans="4:18" ht="15.75" x14ac:dyDescent="0.5">
      <c r="D77" s="4" t="s">
        <v>89</v>
      </c>
      <c r="I77" s="5"/>
      <c r="J77" s="5"/>
      <c r="K77" s="6"/>
      <c r="L77" s="6"/>
      <c r="N77" s="18" t="s">
        <v>77</v>
      </c>
      <c r="O77" s="18"/>
      <c r="P77" s="19">
        <f>+(P75+P76)/2</f>
        <v>288577.5</v>
      </c>
      <c r="Q77" s="18"/>
      <c r="R77" s="18"/>
    </row>
    <row r="78" spans="4:18" ht="15.75" x14ac:dyDescent="0.5">
      <c r="D78" s="4" t="s">
        <v>90</v>
      </c>
      <c r="I78" s="5">
        <v>186357</v>
      </c>
      <c r="J78" s="5">
        <v>155475</v>
      </c>
      <c r="K78" s="6">
        <f t="shared" si="4"/>
        <v>0.19863000482392668</v>
      </c>
      <c r="L78" s="6">
        <f t="shared" si="3"/>
        <v>6.2471233639001235E-2</v>
      </c>
      <c r="N78" s="18"/>
      <c r="O78" s="18"/>
      <c r="P78" s="18"/>
      <c r="Q78" s="18"/>
      <c r="R78" s="18"/>
    </row>
    <row r="79" spans="4:18" ht="15.75" x14ac:dyDescent="0.5">
      <c r="D79" s="4" t="s">
        <v>91</v>
      </c>
      <c r="I79" s="5">
        <v>77563</v>
      </c>
      <c r="J79" s="5">
        <v>45678</v>
      </c>
      <c r="K79" s="6">
        <f t="shared" si="4"/>
        <v>0.69803844301414253</v>
      </c>
      <c r="L79" s="6">
        <f t="shared" si="3"/>
        <v>2.6000935273383093E-2</v>
      </c>
      <c r="M79">
        <v>19</v>
      </c>
      <c r="N79" s="24" t="s">
        <v>92</v>
      </c>
      <c r="O79" s="18"/>
      <c r="P79" s="19">
        <f>+I114</f>
        <v>6578910</v>
      </c>
      <c r="Q79" s="18"/>
      <c r="R79" s="18"/>
    </row>
    <row r="80" spans="4:18" ht="15.75" x14ac:dyDescent="0.5">
      <c r="D80" s="5" t="s">
        <v>86</v>
      </c>
      <c r="I80" s="5">
        <v>67170</v>
      </c>
      <c r="J80" s="5">
        <v>1149</v>
      </c>
      <c r="K80" s="6">
        <f t="shared" si="4"/>
        <v>57.459530026109661</v>
      </c>
      <c r="L80" s="6">
        <f t="shared" si="3"/>
        <v>2.251695811550794E-2</v>
      </c>
      <c r="N80" s="16" t="s">
        <v>93</v>
      </c>
      <c r="O80" s="18"/>
      <c r="P80" s="19">
        <f>+P79*0.75</f>
        <v>4934182.5</v>
      </c>
      <c r="Q80" s="18"/>
      <c r="R80" s="18"/>
    </row>
    <row r="81" spans="4:18" ht="15.75" x14ac:dyDescent="0.5">
      <c r="D81" s="4"/>
      <c r="I81" s="5">
        <f>SUM(I78:I80)</f>
        <v>331090</v>
      </c>
      <c r="J81" s="5">
        <f>SUM(J78:J80)</f>
        <v>202302</v>
      </c>
      <c r="K81" s="6">
        <f t="shared" si="4"/>
        <v>0.63661258909946516</v>
      </c>
      <c r="L81" s="6">
        <f t="shared" si="3"/>
        <v>0.11098912702789226</v>
      </c>
      <c r="N81" s="16" t="s">
        <v>94</v>
      </c>
      <c r="O81" s="18"/>
      <c r="P81" s="19">
        <f>+P80*1.21</f>
        <v>5970360.8250000002</v>
      </c>
      <c r="Q81" s="18"/>
      <c r="R81" s="18"/>
    </row>
    <row r="82" spans="4:18" ht="15.75" x14ac:dyDescent="0.5">
      <c r="D82" s="4"/>
      <c r="I82" s="5"/>
      <c r="J82" s="5"/>
      <c r="K82" s="6"/>
      <c r="L82" s="6"/>
      <c r="N82" s="18"/>
      <c r="O82" s="18"/>
      <c r="P82" s="18"/>
      <c r="Q82" s="18"/>
      <c r="R82" s="18"/>
    </row>
    <row r="83" spans="4:18" ht="15.75" x14ac:dyDescent="0.5">
      <c r="D83" s="4"/>
      <c r="I83" s="5"/>
      <c r="J83" s="5"/>
      <c r="K83" s="6"/>
      <c r="L83" s="6"/>
      <c r="M83">
        <v>20</v>
      </c>
      <c r="N83" s="24" t="s">
        <v>95</v>
      </c>
      <c r="O83" s="18"/>
      <c r="P83" s="17">
        <f>365*(P77/P81)</f>
        <v>17.642281695763337</v>
      </c>
      <c r="Q83" s="28">
        <v>18</v>
      </c>
      <c r="R83" s="29" t="s">
        <v>81</v>
      </c>
    </row>
    <row r="84" spans="4:18" ht="15.75" x14ac:dyDescent="0.5">
      <c r="D84" s="3" t="s">
        <v>96</v>
      </c>
      <c r="E84">
        <v>41925</v>
      </c>
      <c r="G84">
        <v>42900</v>
      </c>
      <c r="I84" s="7">
        <f>+I64+I70+I76+I81</f>
        <v>1373295.05</v>
      </c>
      <c r="J84" s="7">
        <f>+J64+J70+J76+J81</f>
        <v>1836045</v>
      </c>
      <c r="K84" s="6">
        <f t="shared" si="4"/>
        <v>-0.25203627906723419</v>
      </c>
      <c r="L84" s="6">
        <f t="shared" si="3"/>
        <v>0.46036068365467292</v>
      </c>
      <c r="N84" s="18"/>
      <c r="O84" s="18"/>
      <c r="P84" s="18"/>
      <c r="Q84" s="18"/>
      <c r="R84" s="18"/>
    </row>
    <row r="85" spans="4:18" ht="15.75" x14ac:dyDescent="0.5">
      <c r="K85" s="6"/>
      <c r="L85" s="6"/>
      <c r="N85" s="18"/>
      <c r="O85" s="18"/>
      <c r="P85" s="18"/>
      <c r="Q85" s="18"/>
      <c r="R85" s="18"/>
    </row>
    <row r="86" spans="4:18" ht="15.75" x14ac:dyDescent="0.5">
      <c r="D86" s="3" t="s">
        <v>97</v>
      </c>
      <c r="K86" s="6"/>
      <c r="L86" s="6"/>
      <c r="M86">
        <v>21</v>
      </c>
      <c r="N86" s="24" t="s">
        <v>98</v>
      </c>
      <c r="O86" s="18"/>
      <c r="P86" s="18">
        <f>+Q70+Q83</f>
        <v>104</v>
      </c>
      <c r="Q86" s="16" t="s">
        <v>81</v>
      </c>
      <c r="R86" s="18"/>
    </row>
    <row r="87" spans="4:18" ht="15.75" x14ac:dyDescent="0.5">
      <c r="D87" t="s">
        <v>63</v>
      </c>
      <c r="E87">
        <v>6875</v>
      </c>
      <c r="G87">
        <v>9650</v>
      </c>
      <c r="I87" s="5">
        <v>130275</v>
      </c>
      <c r="J87" s="5">
        <v>254925</v>
      </c>
      <c r="K87" s="6">
        <f t="shared" si="4"/>
        <v>-0.4889673433362754</v>
      </c>
      <c r="L87" s="6">
        <f t="shared" si="3"/>
        <v>4.3671232968554366E-2</v>
      </c>
      <c r="N87" s="18"/>
      <c r="O87" s="18"/>
      <c r="P87" s="18"/>
      <c r="Q87" s="18"/>
      <c r="R87" s="18"/>
    </row>
    <row r="88" spans="4:18" ht="15.75" x14ac:dyDescent="0.5">
      <c r="D88" s="5" t="s">
        <v>64</v>
      </c>
      <c r="I88" s="5">
        <v>300324</v>
      </c>
      <c r="J88" s="5">
        <v>245773</v>
      </c>
      <c r="K88" s="6">
        <f t="shared" si="4"/>
        <v>0.22195684635822488</v>
      </c>
      <c r="L88" s="6">
        <f t="shared" si="3"/>
        <v>0.10067564283283915</v>
      </c>
      <c r="N88" s="18"/>
      <c r="O88" s="18"/>
      <c r="P88" s="18"/>
      <c r="Q88" s="18"/>
      <c r="R88" s="18"/>
    </row>
    <row r="89" spans="4:18" ht="15.75" x14ac:dyDescent="0.5">
      <c r="D89" s="5" t="s">
        <v>67</v>
      </c>
      <c r="I89" s="5">
        <v>68863</v>
      </c>
      <c r="J89" s="5">
        <v>33941</v>
      </c>
      <c r="K89" s="6">
        <f t="shared" si="4"/>
        <v>1.0289030965498953</v>
      </c>
      <c r="L89" s="6">
        <f t="shared" si="3"/>
        <v>2.3084491390624136E-2</v>
      </c>
      <c r="M89">
        <v>22</v>
      </c>
      <c r="N89" s="27" t="s">
        <v>99</v>
      </c>
      <c r="O89" s="16" t="s">
        <v>100</v>
      </c>
      <c r="P89" s="18"/>
      <c r="Q89" s="18"/>
      <c r="R89" s="18"/>
    </row>
    <row r="90" spans="4:18" ht="15.75" x14ac:dyDescent="0.5">
      <c r="D90" s="5" t="s">
        <v>73</v>
      </c>
      <c r="I90" s="5">
        <v>-44789</v>
      </c>
      <c r="J90" s="5">
        <v>-24789</v>
      </c>
      <c r="K90" s="6">
        <f t="shared" si="4"/>
        <v>0.80680947194320063</v>
      </c>
      <c r="L90" s="6">
        <f t="shared" si="3"/>
        <v>-1.5014322421251825E-2</v>
      </c>
      <c r="N90" s="18"/>
      <c r="O90" s="18"/>
      <c r="P90" s="18"/>
      <c r="Q90" s="18"/>
      <c r="R90" s="18"/>
    </row>
    <row r="91" spans="4:18" ht="15.75" x14ac:dyDescent="0.5">
      <c r="D91" s="5"/>
      <c r="I91" s="5">
        <f>SUM(I87:I90)</f>
        <v>454673</v>
      </c>
      <c r="J91" s="5">
        <f>SUM(J87:J90)</f>
        <v>509850</v>
      </c>
      <c r="K91" s="6">
        <f t="shared" si="4"/>
        <v>-0.10822202608610376</v>
      </c>
      <c r="L91" s="6">
        <f t="shared" si="3"/>
        <v>0.15241704477076584</v>
      </c>
      <c r="N91" s="24" t="s">
        <v>101</v>
      </c>
      <c r="O91" s="18"/>
      <c r="P91" s="18"/>
      <c r="Q91" s="18"/>
      <c r="R91" s="18"/>
    </row>
    <row r="92" spans="4:18" ht="15.75" x14ac:dyDescent="0.5">
      <c r="D92" s="4" t="s">
        <v>82</v>
      </c>
      <c r="I92" s="5"/>
      <c r="J92" s="5"/>
      <c r="K92" s="6"/>
      <c r="L92" s="6">
        <f t="shared" si="3"/>
        <v>0</v>
      </c>
      <c r="N92" s="18"/>
      <c r="O92" s="18"/>
      <c r="P92" s="18"/>
      <c r="Q92" s="18"/>
      <c r="R92" s="18"/>
    </row>
    <row r="93" spans="4:18" ht="15.75" x14ac:dyDescent="0.5">
      <c r="D93" s="5" t="s">
        <v>86</v>
      </c>
      <c r="I93" s="5">
        <v>129900</v>
      </c>
      <c r="J93" s="5">
        <v>69507</v>
      </c>
      <c r="K93" s="6">
        <f t="shared" si="4"/>
        <v>0.86887651603435623</v>
      </c>
      <c r="L93" s="6">
        <f t="shared" si="3"/>
        <v>4.3545524180504412E-2</v>
      </c>
      <c r="N93" s="16" t="s">
        <v>102</v>
      </c>
      <c r="O93" s="18"/>
      <c r="P93" s="21">
        <f>+J59+J63</f>
        <v>1092953</v>
      </c>
      <c r="Q93" s="18"/>
      <c r="R93" s="18"/>
    </row>
    <row r="94" spans="4:18" ht="15.75" x14ac:dyDescent="0.5">
      <c r="D94" s="4"/>
      <c r="I94" s="5"/>
      <c r="J94" s="5"/>
      <c r="K94" s="6"/>
      <c r="L94" s="6"/>
      <c r="N94" s="16" t="s">
        <v>103</v>
      </c>
      <c r="O94" s="18"/>
      <c r="P94" s="21">
        <f>+I59+I63</f>
        <v>287987</v>
      </c>
      <c r="Q94" s="18"/>
      <c r="R94" s="18"/>
    </row>
    <row r="95" spans="4:18" ht="15.75" x14ac:dyDescent="0.5">
      <c r="D95" t="s">
        <v>76</v>
      </c>
      <c r="E95">
        <v>4000</v>
      </c>
      <c r="G95">
        <v>2600</v>
      </c>
      <c r="I95" s="5"/>
      <c r="J95" s="5"/>
      <c r="K95" s="6"/>
      <c r="L95" s="6"/>
      <c r="N95" s="18" t="s">
        <v>77</v>
      </c>
      <c r="O95" s="18"/>
      <c r="P95" s="21">
        <f>+(P93+P94)/2</f>
        <v>690470</v>
      </c>
      <c r="Q95" s="18"/>
      <c r="R95" s="18"/>
    </row>
    <row r="96" spans="4:18" ht="15.75" x14ac:dyDescent="0.5">
      <c r="D96" t="s">
        <v>78</v>
      </c>
      <c r="I96" s="5">
        <v>45325</v>
      </c>
      <c r="J96" s="5">
        <v>193078</v>
      </c>
      <c r="K96" s="6">
        <f t="shared" si="4"/>
        <v>-0.76525031334486582</v>
      </c>
      <c r="L96" s="6">
        <f t="shared" si="3"/>
        <v>1.519400218230456E-2</v>
      </c>
      <c r="N96" s="18"/>
      <c r="O96" s="18"/>
      <c r="P96" s="18"/>
      <c r="Q96" s="18"/>
      <c r="R96" s="18"/>
    </row>
    <row r="97" spans="4:18" ht="15.75" x14ac:dyDescent="0.5">
      <c r="D97" s="5" t="s">
        <v>73</v>
      </c>
      <c r="I97" s="5">
        <v>-10225</v>
      </c>
      <c r="J97" s="5">
        <v>-44758</v>
      </c>
      <c r="K97" s="6">
        <f t="shared" si="4"/>
        <v>-0.77154922025112826</v>
      </c>
      <c r="L97" s="6">
        <f t="shared" si="3"/>
        <v>-3.4276596208287729E-3</v>
      </c>
      <c r="M97">
        <v>23</v>
      </c>
      <c r="N97" s="24" t="s">
        <v>104</v>
      </c>
      <c r="O97" s="18"/>
      <c r="P97" s="18"/>
      <c r="Q97" s="18"/>
      <c r="R97" s="18"/>
    </row>
    <row r="98" spans="4:18" ht="15.75" x14ac:dyDescent="0.5">
      <c r="I98" s="5">
        <f>SUM(I96:I97)</f>
        <v>35100</v>
      </c>
      <c r="J98" s="5">
        <f>SUM(J96:J97)</f>
        <v>148320</v>
      </c>
      <c r="K98" s="6">
        <f t="shared" si="4"/>
        <v>-0.76334951456310685</v>
      </c>
      <c r="L98" s="6">
        <f t="shared" si="3"/>
        <v>1.1766342561475787E-2</v>
      </c>
      <c r="N98" s="16" t="s">
        <v>105</v>
      </c>
      <c r="O98" s="18"/>
      <c r="P98" s="18"/>
      <c r="Q98" s="18"/>
      <c r="R98" s="18"/>
    </row>
    <row r="99" spans="4:18" ht="15.75" x14ac:dyDescent="0.5">
      <c r="I99" s="5"/>
      <c r="J99" s="5"/>
      <c r="K99" s="6"/>
      <c r="L99" s="6"/>
      <c r="N99" s="18"/>
      <c r="O99" s="18"/>
      <c r="P99" s="18"/>
      <c r="Q99" s="18"/>
      <c r="R99" s="18"/>
    </row>
    <row r="100" spans="4:18" ht="15.75" x14ac:dyDescent="0.5">
      <c r="D100" s="3" t="s">
        <v>106</v>
      </c>
      <c r="E100">
        <v>10875</v>
      </c>
      <c r="G100">
        <v>12250</v>
      </c>
      <c r="I100" s="7">
        <f>+I91+I93+I98</f>
        <v>619673</v>
      </c>
      <c r="J100" s="7">
        <f>+J91+J93+J98</f>
        <v>727677</v>
      </c>
      <c r="K100" s="6">
        <f t="shared" si="4"/>
        <v>-0.14842299536745013</v>
      </c>
      <c r="L100" s="6">
        <f t="shared" si="3"/>
        <v>0.20772891151274603</v>
      </c>
      <c r="N100" s="24" t="s">
        <v>107</v>
      </c>
      <c r="O100" s="18"/>
      <c r="P100" s="18"/>
      <c r="Q100" s="18"/>
      <c r="R100" s="18"/>
    </row>
    <row r="101" spans="4:18" ht="15.75" x14ac:dyDescent="0.5">
      <c r="I101" s="5"/>
      <c r="J101" s="5"/>
      <c r="K101" s="6"/>
      <c r="L101" s="6"/>
      <c r="N101" s="18"/>
      <c r="O101" s="18"/>
      <c r="P101" s="18"/>
      <c r="Q101" s="18"/>
      <c r="R101" s="18"/>
    </row>
    <row r="102" spans="4:18" ht="15.75" x14ac:dyDescent="0.5">
      <c r="D102" s="9" t="s">
        <v>108</v>
      </c>
      <c r="E102" s="9">
        <v>52800</v>
      </c>
      <c r="F102" s="9"/>
      <c r="G102" s="9">
        <v>55150</v>
      </c>
      <c r="H102" s="9"/>
      <c r="I102" s="10">
        <f>+I84</f>
        <v>1373295.05</v>
      </c>
      <c r="J102" s="10">
        <f>+J84</f>
        <v>1836045</v>
      </c>
      <c r="K102" s="6">
        <f t="shared" si="4"/>
        <v>-0.25203627906723419</v>
      </c>
      <c r="L102" s="6">
        <f t="shared" si="3"/>
        <v>0.46036068365467292</v>
      </c>
      <c r="N102" s="16" t="s">
        <v>72</v>
      </c>
      <c r="O102" s="18"/>
      <c r="P102" s="19">
        <f>+P68</f>
        <v>3724560</v>
      </c>
      <c r="Q102" s="18"/>
      <c r="R102" s="18"/>
    </row>
    <row r="103" spans="4:18" ht="15.75" x14ac:dyDescent="0.5">
      <c r="I103" s="5"/>
      <c r="J103" s="5"/>
      <c r="K103" s="6"/>
      <c r="L103" s="6"/>
      <c r="N103" s="18" t="s">
        <v>74</v>
      </c>
      <c r="O103" s="18"/>
      <c r="P103" s="19">
        <f>+P64</f>
        <v>977890</v>
      </c>
      <c r="Q103" s="18"/>
      <c r="R103" s="18"/>
    </row>
    <row r="104" spans="4:18" ht="15.75" x14ac:dyDescent="0.5">
      <c r="D104" s="9" t="s">
        <v>109</v>
      </c>
      <c r="K104" s="6"/>
      <c r="L104" s="6"/>
      <c r="N104" s="18" t="s">
        <v>75</v>
      </c>
      <c r="O104" s="18"/>
      <c r="P104" s="19">
        <f>+P65</f>
        <v>773458</v>
      </c>
      <c r="Q104" s="18"/>
      <c r="R104" s="18"/>
    </row>
    <row r="105" spans="4:18" ht="15.75" x14ac:dyDescent="0.5">
      <c r="D105" t="s">
        <v>110</v>
      </c>
      <c r="E105">
        <v>15000</v>
      </c>
      <c r="G105">
        <v>10000</v>
      </c>
      <c r="I105" s="5">
        <v>184300</v>
      </c>
      <c r="J105" s="5">
        <v>448920</v>
      </c>
      <c r="K105" s="6">
        <f t="shared" si="4"/>
        <v>-0.58945914639579433</v>
      </c>
      <c r="L105" s="6">
        <f t="shared" si="3"/>
        <v>6.1781679033617885E-2</v>
      </c>
      <c r="N105" s="18"/>
      <c r="O105" s="18"/>
      <c r="P105" s="18"/>
      <c r="Q105" s="18"/>
      <c r="R105" s="18"/>
    </row>
    <row r="106" spans="4:18" ht="15.75" x14ac:dyDescent="0.5">
      <c r="D106" t="s">
        <v>111</v>
      </c>
      <c r="E106">
        <v>6828.1199999999953</v>
      </c>
      <c r="G106">
        <v>-9964.3500000000058</v>
      </c>
      <c r="I106" s="5">
        <v>553349.19999999995</v>
      </c>
      <c r="J106" s="5">
        <v>725939.55</v>
      </c>
      <c r="K106" s="6">
        <f t="shared" si="4"/>
        <v>-0.23774755074303375</v>
      </c>
      <c r="L106" s="6">
        <f t="shared" si="3"/>
        <v>0.18549561946776574</v>
      </c>
      <c r="M106">
        <v>24</v>
      </c>
      <c r="N106" s="24" t="s">
        <v>112</v>
      </c>
      <c r="O106" s="18"/>
      <c r="P106" s="21">
        <f>+P102+P104-P103</f>
        <v>3520128</v>
      </c>
      <c r="Q106" s="18"/>
      <c r="R106" s="18"/>
    </row>
    <row r="107" spans="4:18" ht="15.75" x14ac:dyDescent="0.5">
      <c r="D107" t="s">
        <v>37</v>
      </c>
      <c r="E107">
        <v>21896.875</v>
      </c>
      <c r="G107">
        <v>10204.35</v>
      </c>
      <c r="I107" s="5">
        <v>872140.75000000012</v>
      </c>
      <c r="J107" s="5">
        <v>937035.45000000007</v>
      </c>
      <c r="K107" s="6">
        <f t="shared" si="4"/>
        <v>-6.9255330734819001E-2</v>
      </c>
      <c r="L107" s="6">
        <f t="shared" si="3"/>
        <v>0.2923620178439435</v>
      </c>
      <c r="N107" s="16" t="s">
        <v>113</v>
      </c>
      <c r="O107" s="18"/>
      <c r="P107" s="21">
        <f>+P106*(1-0.44)</f>
        <v>1971271.6800000002</v>
      </c>
      <c r="Q107" s="18"/>
      <c r="R107" s="18"/>
    </row>
    <row r="108" spans="4:18" ht="15.75" x14ac:dyDescent="0.5">
      <c r="D108" s="3" t="s">
        <v>114</v>
      </c>
      <c r="E108">
        <v>43724.994999999995</v>
      </c>
      <c r="G108">
        <v>10239.999999999995</v>
      </c>
      <c r="I108" s="7">
        <f>SUM(I105:I107)</f>
        <v>1609789.9500000002</v>
      </c>
      <c r="J108" s="7">
        <f>SUM(J105:J107)</f>
        <v>2111895</v>
      </c>
      <c r="K108" s="6">
        <f t="shared" si="4"/>
        <v>-0.23775095352751904</v>
      </c>
      <c r="L108" s="6">
        <f t="shared" si="3"/>
        <v>0.53963931634532714</v>
      </c>
      <c r="N108" s="16" t="s">
        <v>115</v>
      </c>
      <c r="O108" s="18"/>
      <c r="P108" s="21">
        <f>+P107*1.21</f>
        <v>2385238.7328000003</v>
      </c>
      <c r="Q108" s="18"/>
      <c r="R108" s="18"/>
    </row>
    <row r="109" spans="4:18" ht="15.75" x14ac:dyDescent="0.5">
      <c r="K109" s="6"/>
      <c r="L109" s="6">
        <f t="shared" si="3"/>
        <v>0</v>
      </c>
      <c r="N109" s="18"/>
      <c r="O109" s="18"/>
      <c r="P109" s="18"/>
      <c r="Q109" s="18"/>
      <c r="R109" s="18"/>
    </row>
    <row r="110" spans="4:18" ht="15.75" x14ac:dyDescent="0.5">
      <c r="D110" s="9" t="s">
        <v>116</v>
      </c>
      <c r="E110" s="9">
        <v>96524.994999999995</v>
      </c>
      <c r="F110" s="9"/>
      <c r="G110" s="9">
        <v>65389.999999999993</v>
      </c>
      <c r="H110" s="9"/>
      <c r="I110" s="11">
        <f>+I108+I102</f>
        <v>2983085</v>
      </c>
      <c r="J110" s="11">
        <f>+J108+J102</f>
        <v>3947940</v>
      </c>
      <c r="K110" s="6">
        <f t="shared" si="4"/>
        <v>-0.24439454500321686</v>
      </c>
      <c r="L110" s="30">
        <f t="shared" si="3"/>
        <v>1</v>
      </c>
      <c r="M110">
        <v>25</v>
      </c>
      <c r="N110" s="24" t="s">
        <v>117</v>
      </c>
      <c r="O110" s="18"/>
      <c r="P110" s="17">
        <f>365*(P95/P108)</f>
        <v>105.65883680085776</v>
      </c>
      <c r="Q110" s="18">
        <v>106</v>
      </c>
      <c r="R110" s="16" t="s">
        <v>81</v>
      </c>
    </row>
    <row r="111" spans="4:18" ht="15.75" x14ac:dyDescent="0.5">
      <c r="K111" s="6"/>
      <c r="N111" s="18"/>
      <c r="O111" s="18"/>
      <c r="P111" s="18"/>
      <c r="Q111" s="18"/>
      <c r="R111" s="18"/>
    </row>
    <row r="112" spans="4:18" ht="15.75" x14ac:dyDescent="0.5">
      <c r="D112" s="12" t="s">
        <v>118</v>
      </c>
      <c r="E112" t="s">
        <v>0</v>
      </c>
      <c r="G112" t="s">
        <v>1</v>
      </c>
      <c r="J112" s="8">
        <f>+J110-J54</f>
        <v>0</v>
      </c>
      <c r="K112" s="6"/>
      <c r="M112">
        <v>26</v>
      </c>
      <c r="N112" s="24" t="s">
        <v>99</v>
      </c>
      <c r="O112" s="18"/>
      <c r="P112" s="28">
        <f>+P86-Q110</f>
        <v>-2</v>
      </c>
      <c r="Q112" s="29" t="s">
        <v>81</v>
      </c>
      <c r="R112" s="18"/>
    </row>
    <row r="113" spans="4:18" ht="15.75" x14ac:dyDescent="0.5">
      <c r="K113" s="6"/>
      <c r="N113" s="18"/>
      <c r="O113" s="18"/>
      <c r="P113" s="18"/>
      <c r="Q113" s="18"/>
      <c r="R113" s="18"/>
    </row>
    <row r="114" spans="4:18" ht="15.75" x14ac:dyDescent="0.5">
      <c r="D114" t="s">
        <v>92</v>
      </c>
      <c r="E114">
        <v>199375</v>
      </c>
      <c r="G114">
        <v>178750</v>
      </c>
      <c r="I114" s="5">
        <v>6578910</v>
      </c>
      <c r="J114" s="5">
        <v>8795043</v>
      </c>
      <c r="K114" s="6">
        <f t="shared" si="4"/>
        <v>-0.2519752319573651</v>
      </c>
      <c r="L114" s="6">
        <f>+I114/$I$114</f>
        <v>1</v>
      </c>
      <c r="M114" s="6">
        <f>+J114/J114</f>
        <v>1</v>
      </c>
      <c r="N114" s="18"/>
      <c r="O114" s="18"/>
      <c r="P114" s="18"/>
      <c r="Q114" s="18"/>
      <c r="R114" s="18"/>
    </row>
    <row r="115" spans="4:18" ht="15.75" x14ac:dyDescent="0.5">
      <c r="D115" t="s">
        <v>119</v>
      </c>
      <c r="E115">
        <v>107112.5</v>
      </c>
      <c r="G115">
        <v>118976</v>
      </c>
      <c r="I115" s="5">
        <v>3724560</v>
      </c>
      <c r="J115" s="5">
        <v>6011928</v>
      </c>
      <c r="K115" s="6">
        <f t="shared" si="4"/>
        <v>-0.38047162241463972</v>
      </c>
      <c r="L115" s="6">
        <f t="shared" ref="L115:L126" si="5">+I115/$I$114</f>
        <v>0.56613633565438648</v>
      </c>
      <c r="M115" s="6">
        <f>+J115/J114</f>
        <v>0.68355868186204438</v>
      </c>
      <c r="N115" s="18"/>
      <c r="O115" s="18"/>
      <c r="P115" s="18"/>
      <c r="Q115" s="18"/>
      <c r="R115" s="18"/>
    </row>
    <row r="116" spans="4:18" ht="15.75" x14ac:dyDescent="0.5">
      <c r="D116" t="s">
        <v>120</v>
      </c>
      <c r="E116">
        <v>92262.5</v>
      </c>
      <c r="G116">
        <v>59774</v>
      </c>
      <c r="I116" s="5">
        <v>2854350</v>
      </c>
      <c r="J116" s="5">
        <v>2783115</v>
      </c>
      <c r="K116" s="6">
        <f t="shared" si="4"/>
        <v>2.559542095817097E-2</v>
      </c>
      <c r="L116" s="6">
        <f t="shared" si="5"/>
        <v>0.43386366434561346</v>
      </c>
      <c r="M116" s="6">
        <f>+J116/J114</f>
        <v>0.31644131813795567</v>
      </c>
      <c r="N116" s="18"/>
      <c r="O116" s="18"/>
      <c r="P116" s="18"/>
      <c r="Q116" s="18"/>
      <c r="R116" s="18"/>
    </row>
    <row r="117" spans="4:18" ht="15.75" x14ac:dyDescent="0.5">
      <c r="D117" t="s">
        <v>121</v>
      </c>
      <c r="E117">
        <v>-18700</v>
      </c>
      <c r="G117">
        <v>-19240</v>
      </c>
      <c r="I117" s="5">
        <v>-663220</v>
      </c>
      <c r="J117" s="5">
        <v>-706104</v>
      </c>
      <c r="K117" s="6">
        <f t="shared" si="4"/>
        <v>-6.0733263088723476E-2</v>
      </c>
      <c r="L117" s="6">
        <f>-I117/$I$114</f>
        <v>0.10081001260087158</v>
      </c>
      <c r="N117" s="18"/>
      <c r="O117" s="18"/>
      <c r="P117" s="18"/>
      <c r="Q117" s="18"/>
      <c r="R117" s="18"/>
    </row>
    <row r="118" spans="4:18" ht="15.75" x14ac:dyDescent="0.5">
      <c r="D118" t="s">
        <v>122</v>
      </c>
      <c r="E118">
        <v>-26400</v>
      </c>
      <c r="G118">
        <v>-23140</v>
      </c>
      <c r="I118" s="5">
        <v>-552180</v>
      </c>
      <c r="J118" s="5">
        <v>-376281</v>
      </c>
      <c r="K118" s="6">
        <f t="shared" si="4"/>
        <v>0.46746713227614467</v>
      </c>
      <c r="L118" s="6">
        <f>-I118/$I$114</f>
        <v>8.3931836732832638E-2</v>
      </c>
      <c r="N118" s="18"/>
      <c r="O118" s="18"/>
      <c r="P118" s="18"/>
      <c r="Q118" s="18"/>
      <c r="R118" s="18"/>
    </row>
    <row r="119" spans="4:18" ht="15.75" x14ac:dyDescent="0.5">
      <c r="D119" t="s">
        <v>123</v>
      </c>
      <c r="E119">
        <v>4125</v>
      </c>
      <c r="G119">
        <v>5590</v>
      </c>
      <c r="I119" s="5">
        <v>75465.000000000015</v>
      </c>
      <c r="J119" s="5">
        <v>152955</v>
      </c>
      <c r="K119" s="6">
        <f t="shared" si="4"/>
        <v>-0.50661959399823464</v>
      </c>
      <c r="L119" s="6">
        <f t="shared" si="5"/>
        <v>1.1470745153832475E-2</v>
      </c>
      <c r="N119" s="18"/>
      <c r="O119" s="18"/>
      <c r="P119" s="18"/>
      <c r="Q119" s="18"/>
      <c r="R119" s="18"/>
    </row>
    <row r="120" spans="4:18" ht="15.75" x14ac:dyDescent="0.5">
      <c r="D120" t="s">
        <v>124</v>
      </c>
      <c r="E120">
        <v>51287.5</v>
      </c>
      <c r="G120">
        <v>22984</v>
      </c>
      <c r="I120" s="5">
        <v>1714415</v>
      </c>
      <c r="J120" s="5">
        <v>1853685</v>
      </c>
      <c r="K120" s="6">
        <f t="shared" si="4"/>
        <v>-7.5131427400016729E-2</v>
      </c>
      <c r="L120" s="6">
        <f t="shared" si="5"/>
        <v>0.26059256016574173</v>
      </c>
      <c r="N120" s="18"/>
      <c r="O120" s="18"/>
      <c r="P120" s="18"/>
      <c r="Q120" s="18"/>
      <c r="R120" s="18"/>
    </row>
    <row r="121" spans="4:18" ht="15.75" x14ac:dyDescent="0.5">
      <c r="D121" t="s">
        <v>125</v>
      </c>
      <c r="E121">
        <v>-15950</v>
      </c>
      <c r="G121">
        <v>-10660</v>
      </c>
      <c r="I121" s="5">
        <v>-342210</v>
      </c>
      <c r="J121" s="5">
        <v>-501039</v>
      </c>
      <c r="K121" s="6">
        <f t="shared" si="4"/>
        <v>-0.31699927550549956</v>
      </c>
      <c r="L121" s="6">
        <f>-I121/$I$114</f>
        <v>5.2016215452103769E-2</v>
      </c>
      <c r="N121" s="18"/>
      <c r="O121" s="18"/>
      <c r="P121" s="18"/>
      <c r="Q121" s="18"/>
      <c r="R121" s="18"/>
    </row>
    <row r="122" spans="4:18" x14ac:dyDescent="0.45">
      <c r="D122" t="s">
        <v>126</v>
      </c>
      <c r="E122">
        <v>35337.5</v>
      </c>
      <c r="G122">
        <v>12324</v>
      </c>
      <c r="I122" s="5">
        <v>1372205</v>
      </c>
      <c r="J122" s="5">
        <v>1352646</v>
      </c>
      <c r="K122" s="6">
        <f t="shared" si="4"/>
        <v>1.4459806926572068E-2</v>
      </c>
      <c r="L122" s="6">
        <f t="shared" si="5"/>
        <v>0.20857634471363798</v>
      </c>
    </row>
    <row r="123" spans="4:18" x14ac:dyDescent="0.45">
      <c r="D123" t="s">
        <v>127</v>
      </c>
      <c r="E123">
        <v>-1650</v>
      </c>
      <c r="G123">
        <v>3375</v>
      </c>
      <c r="I123" s="5">
        <v>-30450</v>
      </c>
      <c r="J123" s="5">
        <v>88947</v>
      </c>
      <c r="K123" s="6">
        <f t="shared" si="4"/>
        <v>-1.3423386960774393</v>
      </c>
      <c r="L123" s="6">
        <f>-I123/$I$114</f>
        <v>4.6284262894613244E-3</v>
      </c>
    </row>
    <row r="124" spans="4:18" x14ac:dyDescent="0.45">
      <c r="D124" t="s">
        <v>128</v>
      </c>
      <c r="E124">
        <v>33687.5</v>
      </c>
      <c r="G124">
        <v>15699</v>
      </c>
      <c r="I124" s="5">
        <v>1341755</v>
      </c>
      <c r="J124" s="5">
        <v>1441593</v>
      </c>
      <c r="K124" s="6">
        <f t="shared" si="4"/>
        <v>-6.9255330734819057E-2</v>
      </c>
      <c r="L124" s="6">
        <f t="shared" si="5"/>
        <v>0.20394791842417664</v>
      </c>
    </row>
    <row r="125" spans="4:18" x14ac:dyDescent="0.45">
      <c r="D125" t="s">
        <v>129</v>
      </c>
      <c r="E125">
        <v>-11790.625</v>
      </c>
      <c r="G125">
        <v>-5494.65</v>
      </c>
      <c r="I125" s="5">
        <v>-469614.24999999994</v>
      </c>
      <c r="J125" s="5">
        <v>-504557.55</v>
      </c>
      <c r="K125" s="6">
        <f t="shared" si="4"/>
        <v>-6.925533073481914E-2</v>
      </c>
      <c r="L125" s="6">
        <f>-I125/$I$114</f>
        <v>7.138177144846182E-2</v>
      </c>
    </row>
    <row r="126" spans="4:18" x14ac:dyDescent="0.45">
      <c r="D126" s="13" t="s">
        <v>130</v>
      </c>
      <c r="E126" s="13">
        <v>21896.875</v>
      </c>
      <c r="F126" s="13"/>
      <c r="G126" s="13">
        <v>10204.35</v>
      </c>
      <c r="H126" s="13"/>
      <c r="I126" s="14">
        <v>872140.75000000012</v>
      </c>
      <c r="J126" s="14">
        <v>937035.45000000007</v>
      </c>
      <c r="K126" s="6">
        <f t="shared" si="4"/>
        <v>-6.9255330734819001E-2</v>
      </c>
      <c r="L126" s="6">
        <f t="shared" si="5"/>
        <v>0.13256614697571484</v>
      </c>
    </row>
    <row r="128" spans="4:18" x14ac:dyDescent="0.45">
      <c r="D128" t="s">
        <v>131</v>
      </c>
    </row>
    <row r="129" spans="4:4" x14ac:dyDescent="0.45">
      <c r="D129" t="s">
        <v>132</v>
      </c>
    </row>
    <row r="130" spans="4:4" x14ac:dyDescent="0.45">
      <c r="D130" t="s">
        <v>133</v>
      </c>
    </row>
    <row r="131" spans="4:4" x14ac:dyDescent="0.45">
      <c r="D131" t="s">
        <v>134</v>
      </c>
    </row>
    <row r="132" spans="4:4" x14ac:dyDescent="0.45">
      <c r="D13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Milva Leila Lanzafame Perriard</dc:creator>
  <cp:lastModifiedBy>Milva Leila Lanzafame Perriard</cp:lastModifiedBy>
  <dcterms:created xsi:type="dcterms:W3CDTF">2022-05-27T22:09:37Z</dcterms:created>
  <dcterms:modified xsi:type="dcterms:W3CDTF">2024-04-12T20:03:58Z</dcterms:modified>
</cp:coreProperties>
</file>